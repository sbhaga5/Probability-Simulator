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defaultThemeVersion="153222"/>
  <mc:AlternateContent xmlns:mc="http://schemas.openxmlformats.org/markup-compatibility/2006">
    <mc:Choice Requires="x15">
      <x15ac:absPath xmlns:x15ac="http://schemas.microsoft.com/office/spreadsheetml/2010/11/ac" url="C:\Users\swaro\Downloads\"/>
    </mc:Choice>
  </mc:AlternateContent>
  <bookViews>
    <workbookView xWindow="0" yWindow="0" windowWidth="17256" windowHeight="5196" activeTab="2"/>
  </bookViews>
  <sheets>
    <sheet name="Sheet1" sheetId="1" r:id="rId1"/>
    <sheet name="Sheet3" sheetId="3" r:id="rId2"/>
    <sheet name="Sheet2" sheetId="2" r:id="rId3"/>
  </sheets>
  <definedNames>
    <definedName name="_xlnm._FilterDatabase" localSheetId="0" hidden="1">Sheet1!$A$1:$AQ$200</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2" l="1"/>
  <c r="C2" i="2"/>
  <c r="B3" i="2"/>
  <c r="C3" i="2"/>
  <c r="B4" i="2"/>
  <c r="C4" i="2"/>
  <c r="B5" i="2"/>
  <c r="C5" i="2"/>
  <c r="B6" i="2"/>
  <c r="C6" i="2"/>
  <c r="B7" i="2"/>
  <c r="C7" i="2"/>
  <c r="B8" i="2"/>
  <c r="C8" i="2"/>
  <c r="B9" i="2"/>
  <c r="C9" i="2"/>
  <c r="B10" i="2"/>
  <c r="C10" i="2"/>
  <c r="B11" i="2"/>
  <c r="C11" i="2"/>
  <c r="B12" i="2"/>
  <c r="C12" i="2"/>
  <c r="B13" i="2"/>
  <c r="C13" i="2"/>
  <c r="B14" i="2"/>
  <c r="C14" i="2"/>
  <c r="B15" i="2"/>
  <c r="C15" i="2"/>
  <c r="B16" i="2"/>
  <c r="C16" i="2"/>
  <c r="B17" i="2"/>
  <c r="C17" i="2"/>
  <c r="B18" i="2"/>
  <c r="C18" i="2"/>
  <c r="B19" i="2"/>
  <c r="C19" i="2"/>
  <c r="B20" i="2"/>
  <c r="C20" i="2"/>
  <c r="B21" i="2"/>
  <c r="C21" i="2"/>
  <c r="B22" i="2"/>
  <c r="C22" i="2"/>
  <c r="C1" i="2"/>
  <c r="B1" i="2"/>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4" i="1"/>
</calcChain>
</file>

<file path=xl/sharedStrings.xml><?xml version="1.0" encoding="utf-8"?>
<sst xmlns="http://schemas.openxmlformats.org/spreadsheetml/2006/main" count="892" uniqueCount="200">
  <si>
    <t>BlackRock asset class return, uncertainty, volatility and correlation expectations</t>
  </si>
  <si>
    <t>BlackRock Capital Market Assumptions</t>
  </si>
  <si>
    <t>Expected returns</t>
  </si>
  <si>
    <t>Volatility</t>
  </si>
  <si>
    <t>Correlation</t>
  </si>
  <si>
    <t>Currency</t>
  </si>
  <si>
    <t>Asset class</t>
  </si>
  <si>
    <t>Asset</t>
  </si>
  <si>
    <t>Index</t>
  </si>
  <si>
    <t>5 year</t>
  </si>
  <si>
    <t>7 year</t>
  </si>
  <si>
    <t>10 year</t>
  </si>
  <si>
    <t>15 year</t>
  </si>
  <si>
    <t>20 year</t>
  </si>
  <si>
    <t>25 year</t>
  </si>
  <si>
    <t>Equities</t>
  </si>
  <si>
    <t>USD</t>
  </si>
  <si>
    <t>Europe large cap equities</t>
  </si>
  <si>
    <t>Emerging large cap equities</t>
  </si>
  <si>
    <t>Japan large cap equities</t>
  </si>
  <si>
    <t>Fixed income</t>
  </si>
  <si>
    <t>USD EM debt</t>
  </si>
  <si>
    <t>Local currency EM debt</t>
  </si>
  <si>
    <t>Private markets</t>
  </si>
  <si>
    <t>Developed infrastructure debt</t>
  </si>
  <si>
    <t>Real estate mezzanine debt</t>
  </si>
  <si>
    <t>Global infrastructure equity</t>
  </si>
  <si>
    <t>Hedge funds (global)</t>
  </si>
  <si>
    <t>Global direct lending</t>
  </si>
  <si>
    <t>MSCI Europe index</t>
  </si>
  <si>
    <t>MSCI USA Index</t>
  </si>
  <si>
    <t xml:space="preserve">MSCI Emerging Markets Index </t>
  </si>
  <si>
    <t>MSCI Japan Index</t>
  </si>
  <si>
    <t>MSCI USA Small Cap Index</t>
  </si>
  <si>
    <t>MSCI World ex-US Index</t>
  </si>
  <si>
    <t>Bloomberg Barclays U.S. Aggregate Index</t>
  </si>
  <si>
    <t>Bloomberg Barclays US MBS Index</t>
  </si>
  <si>
    <t>Bloomberg Barclays U.S. Credit Index</t>
  </si>
  <si>
    <t>Bloomberg Barclays Government Index</t>
  </si>
  <si>
    <t xml:space="preserve">JP Morgan EMBI Global Diversified Index </t>
  </si>
  <si>
    <t>Bloomberg Barclays U.S. High Yield Index</t>
  </si>
  <si>
    <t>JP Morgan GBI-EM Index</t>
  </si>
  <si>
    <t>Bloomberg Barclays US Government Inflation-Linked Bond Index</t>
  </si>
  <si>
    <t>Bloomberg Barclays Global Aggregate Treasury Index ex US</t>
  </si>
  <si>
    <t>Citigroup 3-Month Treasury Bill Index</t>
  </si>
  <si>
    <t>BlackRock Proxy</t>
  </si>
  <si>
    <t>50% Bloomberg Barclays European Infrastructure EUR  Index / 50% Bloomberg Barclays US Corporate 10+ Baa3-A3 Utility</t>
  </si>
  <si>
    <t>HFRI Composite Index</t>
  </si>
  <si>
    <t>Lower interquartile range (25th percentile)</t>
  </si>
  <si>
    <t>Upper interquartile range (25th percentile)</t>
  </si>
  <si>
    <t>Lower mean uncertainty</t>
  </si>
  <si>
    <t>Upper mean uncertainty</t>
  </si>
  <si>
    <t>EUR</t>
  </si>
  <si>
    <t>EMU large cap equities</t>
  </si>
  <si>
    <t>Global small cap equities</t>
  </si>
  <si>
    <t>Global ex-EMU large cap equities</t>
  </si>
  <si>
    <t>EMU corporate bonds</t>
  </si>
  <si>
    <t>EMU government bonds (15+ years)</t>
  </si>
  <si>
    <t>EMU inflation-linked government bonds</t>
  </si>
  <si>
    <t>EMU corporate bonds (10+ years)</t>
  </si>
  <si>
    <t>Global high yield bonds</t>
  </si>
  <si>
    <t>Global aggregate bonds</t>
  </si>
  <si>
    <t xml:space="preserve">Global ex-EMU government </t>
  </si>
  <si>
    <t>EMU cash</t>
  </si>
  <si>
    <t>Global private equity (buyout)</t>
  </si>
  <si>
    <t>Global core real estate</t>
  </si>
  <si>
    <t>MSCI EMU Index</t>
  </si>
  <si>
    <t>MSCI World Small Cap Index</t>
  </si>
  <si>
    <t>MSCI World ex EMU Index</t>
  </si>
  <si>
    <t>BofA Merrill Lynch Euro Corporate Index</t>
  </si>
  <si>
    <t>Bloomberg Barclays Euro Aggregate Treasury Index</t>
  </si>
  <si>
    <t>Bloomberg Barclays Euro Aggregate Treasury 15+ Index</t>
  </si>
  <si>
    <t>BofA ML EMU Direct Government Inflation Linked Index</t>
  </si>
  <si>
    <t>BofA Merrill Lynch 10+ Year Euro Corporate Index</t>
  </si>
  <si>
    <t>BofA Merrill Lynch Global High Yield Index</t>
  </si>
  <si>
    <t>Bloomberg Barclays Global Aggregate Index</t>
  </si>
  <si>
    <t>BofA Merrill Lynch Global Government ex EMU Index</t>
  </si>
  <si>
    <t xml:space="preserve">3-month cash of EMU government bond quality </t>
  </si>
  <si>
    <t>GBP</t>
  </si>
  <si>
    <t>UK large cap equities</t>
  </si>
  <si>
    <t>Global ex-UK large cap equities</t>
  </si>
  <si>
    <t>UK government bonds (15+ years)</t>
  </si>
  <si>
    <t>UK government bonds (all maturities)</t>
  </si>
  <si>
    <t>UK corporate bonds (10+ years)</t>
  </si>
  <si>
    <t>Global ex-UK government bonds</t>
  </si>
  <si>
    <t>UK cash</t>
  </si>
  <si>
    <t>MSCI United Kingdom Index</t>
  </si>
  <si>
    <t>MSCI World ex UK Index</t>
  </si>
  <si>
    <t>FTA Over 15 Year Gilt Index</t>
  </si>
  <si>
    <t>FTA All Stocks Gilt Index</t>
  </si>
  <si>
    <t>BofA Merrill Lynch 10+ Year Sterling Corporate Index</t>
  </si>
  <si>
    <t>BofA Merrill Lynch Global Government ex UK Index</t>
  </si>
  <si>
    <t xml:space="preserve">3-month cash of UK government bond quality </t>
  </si>
  <si>
    <t>JPY</t>
  </si>
  <si>
    <t>Global ex Japan large cap equities</t>
  </si>
  <si>
    <t>Japanese corporate bonds</t>
  </si>
  <si>
    <t>Japanese bonds (broad market)</t>
  </si>
  <si>
    <t>Japanese government bonds (all maturities)</t>
  </si>
  <si>
    <t>Japanese inflation-linked government bonds</t>
  </si>
  <si>
    <t>Japanese government bonds (10+ years)</t>
  </si>
  <si>
    <t>Global ex-Japan government</t>
  </si>
  <si>
    <t>Japan cash</t>
  </si>
  <si>
    <t>MSCI World ex Japan Index</t>
  </si>
  <si>
    <t>BofA Merrill Lynch Japan Corporate Index</t>
  </si>
  <si>
    <t>BofA Merrill Lynch Japan Broad Market Index</t>
  </si>
  <si>
    <t xml:space="preserve">Bloomberg Barclays Global Treasury Japan Index </t>
  </si>
  <si>
    <t xml:space="preserve">Bloomberg Barclays Japan Government Inflation-Linked Bond Index </t>
  </si>
  <si>
    <t xml:space="preserve">Bloomberg Barclays Japan Treasury Over 10 Year Index </t>
  </si>
  <si>
    <t xml:space="preserve">Bloomberg Barclays Global Treasury ex Japan Index </t>
  </si>
  <si>
    <t xml:space="preserve">3-month cash of Japanese government bond quality </t>
  </si>
  <si>
    <t>CHF</t>
  </si>
  <si>
    <t>Swiss large cap equities</t>
  </si>
  <si>
    <t>Global ex Switzerland large cap equities</t>
  </si>
  <si>
    <t>Swiss corporate bonds</t>
  </si>
  <si>
    <t>Swiss government bonds (10+ years)</t>
  </si>
  <si>
    <t>Swiss government bonds (all maturities)</t>
  </si>
  <si>
    <t>Global government bonds</t>
  </si>
  <si>
    <t>Developed inflation-linked bonds</t>
  </si>
  <si>
    <t>Global corporate bonds</t>
  </si>
  <si>
    <t>Swiss cash</t>
  </si>
  <si>
    <t>Switzerland SPI Index</t>
  </si>
  <si>
    <t>MSCI World ex Switzerland Index</t>
  </si>
  <si>
    <t>Bloomberg Barclays Global Aggregate Corporate - Switzerland Index</t>
  </si>
  <si>
    <t>Bloomberg Barclays Swiss Government 10+ Yr Index</t>
  </si>
  <si>
    <t>SBI Domestic Government Total Return Index</t>
  </si>
  <si>
    <t>BofA Merrill Lynch Global Inflation-Linked Government Index</t>
  </si>
  <si>
    <t>Bloomberg Barclays Global Aggregate - Corporates Index</t>
  </si>
  <si>
    <t xml:space="preserve">3-month cash of Swiss government bond quality </t>
  </si>
  <si>
    <t>CAD</t>
  </si>
  <si>
    <t>Canada large cap equities</t>
  </si>
  <si>
    <t>Global ex-Canada large cap equities</t>
  </si>
  <si>
    <t>Global high yield</t>
  </si>
  <si>
    <t>Canadian corporate bonds (all maturities)</t>
  </si>
  <si>
    <t>Canadian corporate bonds (10+ years)</t>
  </si>
  <si>
    <t>Canadian government bonds (all maturities)</t>
  </si>
  <si>
    <t>Canadian inflation-linked government bonds</t>
  </si>
  <si>
    <t>Canadian aggregate bonds</t>
  </si>
  <si>
    <t>Canadian long bonds</t>
  </si>
  <si>
    <t>Canada cash</t>
  </si>
  <si>
    <t>MSCI Canada Index</t>
  </si>
  <si>
    <t>MSCI World ex Canada Index</t>
  </si>
  <si>
    <t>Bloomberg Barclays Global High Yield Index</t>
  </si>
  <si>
    <t xml:space="preserve">Bloomberg Barclays Global Treasury Canada Index </t>
  </si>
  <si>
    <t>FTSE TMX Canada Universe Bond Index</t>
  </si>
  <si>
    <t>FTSE TMX Canada Long Term Bond Index</t>
  </si>
  <si>
    <t xml:space="preserve">3-month cash of Canadian government bond quality </t>
  </si>
  <si>
    <t>AUD</t>
  </si>
  <si>
    <t>Global ex-Australia large cap equities</t>
  </si>
  <si>
    <t>Australia large cap equities</t>
  </si>
  <si>
    <t>Australian government bonds</t>
  </si>
  <si>
    <t>Australian corporate bonds</t>
  </si>
  <si>
    <t>Australian inflation-linked government bonds</t>
  </si>
  <si>
    <t>Australian government bonds (10+ years)</t>
  </si>
  <si>
    <t>Australian cash</t>
  </si>
  <si>
    <t>MSCI World ex Australia Index</t>
  </si>
  <si>
    <t>MSCI Australia Index</t>
  </si>
  <si>
    <t xml:space="preserve">Bloomberg Barclays Global Treasury Australia Index </t>
  </si>
  <si>
    <t>BofA Merrill Lynch Australia Corporate Index</t>
  </si>
  <si>
    <t xml:space="preserve">Bloomberg Barclays Australia Government Inflation-Linked Bond Index </t>
  </si>
  <si>
    <t xml:space="preserve">Bloomberg Barclays Australia Treasury Over 10 Year Index </t>
  </si>
  <si>
    <t xml:space="preserve">3-month cash of Australian government bond quality </t>
  </si>
  <si>
    <t>UK index-linked gilts (5+ year)</t>
  </si>
  <si>
    <t>Bloomberg Barclays Long Goverment index</t>
  </si>
  <si>
    <t>5+ year zero coupon liability</t>
  </si>
  <si>
    <t>MSCI China A Inclusion NET Index</t>
  </si>
  <si>
    <t>MSCI Emerging - China in CNY</t>
  </si>
  <si>
    <t>BBG Barc China Treasury + Policy Bank Total Return Index</t>
  </si>
  <si>
    <t>Bloomberg Barclays Long Credit index</t>
  </si>
  <si>
    <t>BIIM0220U-1088205</t>
  </si>
  <si>
    <t>30 year</t>
  </si>
  <si>
    <t>China-Broad market equities</t>
  </si>
  <si>
    <t>China A shares</t>
  </si>
  <si>
    <t>China government bonds</t>
  </si>
  <si>
    <t>BBG Barc Global Aggregate Treasury Index</t>
  </si>
  <si>
    <t>EMU government bonds</t>
  </si>
  <si>
    <t>Government bonds</t>
  </si>
  <si>
    <t xml:space="preserve">BlackRock’s Long-Term Capital Market Assumption Disclosures: This information is not intended as a recommendation to invest in any particular asset class or strategy or product or as a promise of future performance. Note that these asset class assumptions are passive, and do not consider the impact of active management. All estimates in this document are in US dollar terms unless noted otherwise. Given the complex risk-reward trade-offs involved, we advise clients to rely on their own judgment as well as quantitative optimisation approaches in setting strategic allocations to all the asset classes and strategies. References to future returns are not promises or even estimates of actual returns a client portfolio may achieve. Assumptions, opinions and estimates are provided for illustrative purposes only. They should not be relied upon as recommendations to buy or sell securities. Forecasts of financial market trends that are based on current market conditions constitute our judgment and are subject to change without notice. We believe the information provided here is reliable, but do not warrant its accuracy or completeness. If the reader chooses to rely on the information, it is at its own risk. This material has been prepared for information purposes only and is not intended to provide, and should not be relied on for, accounting, legal, or tax advice. The outputs of the assumptions are provided for illustration purposes only and are subject to significant limitations. “Expected” return estimates are subject to uncertainty and error. Expected returns for each asset class can be conditional on economic scenarios; in the event a particular scenario comes to pass, actual returns could be significantly higher or lower than forecasted. Because of the inherent limitations of all models, potential investors should not rely exclusively on the model when making an investment decision. The model cannot account for the impact that economic, market, and other factors may have on the implementation and ongoing management of an actual investment portfolio. Unlike actual portfolio outcomes, the model outcomes do not reflect actual trading, liquidity constraints, fees, expenses, taxes and other factors that could impact future returns. Asset allocation/diversification does not guarantee investment returns and does not eliminate the risk of loss. 
Index Disclosures: Index returns are for illustrative purposes only and do not represent any actual fund performance. Index performance returns do not reflect any management fees, transaction costs or expenses. Indices are unmanaged and one cannot invest directly in an index.
General Disclosure: This material is intended for information purposes only, and does not constitute investment advice, a recommendation or an offer or solicitation to purchase or sell any securities to any person in any jurisdiction in which an offer, solicitation, purchase or sale would be unlawful under the securities laws of such jurisdiction. The opinions expressed are as of August 2020 and are subject to change without notice. Reliance upon information in this material is at the sole discretion of the reader. Investment involves risks. Asset allocation/diversification does not guarantee investment returns and does not eliminate the risk of loss.
In the U.S., this material is intended for institutional investors only and not for public distribution. In Canada, this material is intended for permitted clients only. In EMEA: Until 31 December 2020 this is issued by BlackRock Investment Management (UK) Limited, authorised and regulated by the Financial Conduct Authority. Registered office: 12 Throgmorton Avenue, London, EC2N 2DL. Tel: + 44 (0)20 7743 3000. Registered in England and Wales No. 2020394. For your protection telephone calls are usually recorded. Please refer to the Financial Conduct Authority website for a list of authorised activities conducted by BlackRock. From 31 December 2020 In the event the United Kingdom and the European Union do not enter into an arrangement which permits United Kingdom firms to offer and provide financial services into the European Union, the issuer of this material is: BlackRock Investment Management (UK) Limited for all outside of the European Union; and  BlackRock (Netherlands) B.V.(1) for in the European Union, BlackRock (Netherlands) B.V. is authorised and regulated by the Netherlands Authority for the Financial Markets. Registered office Amstelplein 1, 1096 HA, Amsterdam, Tel: 020 – 549 5200, Tel: 31-20-549-5200. Trade Register No. 17068311. For your protection telephone calls are usually recorded. In Switzerland, this document is marketing material. This document shall be exclusively made available to, and directed at, qualified investors as defined in the Swiss Collective Investment Schemes Act of 23 June 2006, as amended. For investors in Israel: BlackRock Investment Management (UK) Limited is not licensed under Israel’s Regulation of Investment Advice, Investment Marketing and Portfolio Management Law, 5755-1995 (the “Advice Law”), nor does it carry insurance thereunder. In South Africa, please be advised that BlackRock Investment Management (UK) Limited is an authorized financial services provider with the South African Financial Services Board, FSP No. 43288. In the DIFC this material can be distributed in and from the Dubai International Financial Centre (DIFC) by BlackRock Advisors (UK) Limited — Dubai Branch which is regulated by the Dubai Financial Services Authority (DFSA). This material is only directed at 'Professional Clients’ and no other person should rely upon the information contained within it. In the Kingdom of Saudi Arabia this information is only directed to Exempt Persons, Authorized Persons or Investment Institutions, as defined in the relevant implementing regulations issued by the Capital Markets Authority (CMA). In the United Arab Emirates this material is only intended for -natural Qualified Investor as defined by the Securities and Commodities Authority (SCA) Chairman Decision No. 3/R.M. of 2017 concerning Promoting and Introducing Regulations. Neither the DFSA or any other authority or regulator located in the GCC or MENA region has approved this information. In Singapore, this is issued by BlackRock (Singapore) Limited (Co. registration no. 200010143N). This publication has not been reviewed by the Monetary Authority of Singapore. In Hong Kong, this material is issued by BlackRock Asset Management North Asia Limited and has not been reviewed by the Securities and Futures Commission of Hong Kong. In South Korea, this material is for distribution to the Qualified Professional Investors (as defined in the Financial Investment Services and Capital Market Act and its sub-regulations). In Taiwan, independently operated by BlackRock Investment Management (Taiwan) Limited. Address: 28F., No. 100, Songren Rd., Xinyi Dist., Taipei City 110, Taiwan. Tel: (02)23261600. In Japan, this is issued by BlackRock Japan. Co., Ltd. (Financial Instruments Business Operator: The Kanto Regional Financial Bureau. License No375, Association Memberships: Japan Investment Advisers Association, the Investment Trusts Association, Japan, Japan Securities Dealers Association, Type II Financial Instruments Firms Association.) For Professional Investors only (Professional Investor is defined in Financial Instruments and Exchange Act). In Australia, issued by BlackRock Investment Management (Australia) Limited ABN 13 006 165 975 AFSL 230 523 (BIMAL). The material provides general information only and does not take into account your individual objectives, financial situation, needs or circumstances. In China, this material may not be distributed to individuals resident in the People’s Republic of China (“PRC”, for such purposes, excluding Hong Kong, Macau and Taiwan) or entities registered in the PRC unless such parties have received all the required PRC government approvals to participate in any investment or receive any investment advisory or investment management services. For Other APAC Countries, this material is issued for Institutional Investors only (or professional/sophisticated /qualified investors, as such term may apply in local jurisdictions) and does not constitute investment advice or an offer or solicitation to purchase or sell in any securities, BlackRock funds or any investment strategy nor shall any securities be offered or sold to any person in any jurisdiction in which an offer, solicitation, purchase or sale would be unlawful under the securities laws of such jurisdiction. In Latin America,, for institutional investors and financial intermediaries only (not for public distribution). No securities regulator within Latin America has confirmed the accuracy of any information contained herein. The provision of investment management and investment advisory services is a regulated activity in Mexico thus is subject to strict rules. For more information on the Investment Advisory Services offered by BlackRock Mexico please refer to the Investment Services Guide available at http://www.blackrock.com/mx.
© 2020 BlackRock Inc. All Rights reserved. BlackRock is a registered trademark of BlackRock, Inc., or its subsidiaries in the United States and elsewhere. All other trademarks are those of their respective owners.
</t>
  </si>
  <si>
    <t>Bloomberg Barclays Canadian Aggregate Corporate Bond Index</t>
  </si>
  <si>
    <t>Bloomberg Barclays Canadian Corporates Long Index</t>
  </si>
  <si>
    <t>BofA ML Canadian Governments Inflation-Linked</t>
  </si>
  <si>
    <t>S&amp;P/LSTA Leveraged Loan Index</t>
  </si>
  <si>
    <t>September 2020</t>
  </si>
  <si>
    <t>US cash</t>
  </si>
  <si>
    <t>US government bonds (all maturities)</t>
  </si>
  <si>
    <t>US government (10+ years)</t>
  </si>
  <si>
    <t>US inflation-linked government bonds</t>
  </si>
  <si>
    <t>US credit (all maturities)</t>
  </si>
  <si>
    <t>US credit (10+ years)</t>
  </si>
  <si>
    <t>US high yield</t>
  </si>
  <si>
    <t>US aggregate bonds</t>
  </si>
  <si>
    <t>Global ex-US government bonds</t>
  </si>
  <si>
    <t>US bank loans</t>
  </si>
  <si>
    <t>US large cap equities</t>
  </si>
  <si>
    <t>Global ex-US large cap equities</t>
  </si>
  <si>
    <t>US small cap equities</t>
  </si>
  <si>
    <t>US core real estate</t>
  </si>
  <si>
    <t>US private equity (buyout)</t>
  </si>
  <si>
    <t xml:space="preserve">Commodities </t>
  </si>
  <si>
    <t>US agency MBS</t>
  </si>
  <si>
    <t>US Infrastructure debt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</si>
</sst>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3" x14ac:knownFonts="1">
    <font>
      <sz val="10"/>
      <color theme="1"/>
      <name val="Arial"/>
      <family val="2"/>
    </font>
    <font>
      <sz val="10"/>
      <color theme="1"/>
      <name val="Arial"/>
      <family val="2"/>
    </font>
    <font>
      <b/>
      <sz val="10"/>
      <color theme="1"/>
      <name val="Arial"/>
      <family val="2"/>
    </font>
    <font>
      <b/>
      <sz val="16"/>
      <color theme="1"/>
      <name val="Arial"/>
      <family val="2"/>
    </font>
    <font>
      <u/>
      <sz val="10"/>
      <color theme="10"/>
      <name val="Arial"/>
      <family val="2"/>
    </font>
    <font>
      <sz val="8"/>
      <color theme="1"/>
      <name val="Arial"/>
      <family val="2"/>
    </font>
    <font>
      <sz val="18"/>
      <color theme="3"/>
      <name val="Calibri Light"/>
      <family val="2"/>
      <scheme val="major"/>
    </font>
    <font>
      <b/>
      <sz val="15"/>
      <color theme="3"/>
      <name val="Arial"/>
      <family val="2"/>
    </font>
    <font>
      <b/>
      <sz val="13"/>
      <color theme="3"/>
      <name val="Arial"/>
      <family val="2"/>
    </font>
    <font>
      <b/>
      <sz val="11"/>
      <color theme="3"/>
      <name val="Arial"/>
      <family val="2"/>
    </font>
    <font>
      <sz val="10"/>
      <color rgb="FF006100"/>
      <name val="Arial"/>
      <family val="2"/>
    </font>
    <font>
      <sz val="10"/>
      <color rgb="FF9C0006"/>
      <name val="Arial"/>
      <family val="2"/>
    </font>
    <font>
      <sz val="10"/>
      <color rgb="FF9C5700"/>
      <name val="Arial"/>
      <family val="2"/>
    </font>
    <font>
      <sz val="10"/>
      <color rgb="FF3F3F76"/>
      <name val="Arial"/>
      <family val="2"/>
    </font>
    <font>
      <b/>
      <sz val="10"/>
      <color rgb="FF3F3F3F"/>
      <name val="Arial"/>
      <family val="2"/>
    </font>
    <font>
      <b/>
      <sz val="10"/>
      <color rgb="FFFA7D00"/>
      <name val="Arial"/>
      <family val="2"/>
    </font>
    <font>
      <sz val="10"/>
      <color rgb="FFFA7D00"/>
      <name val="Arial"/>
      <family val="2"/>
    </font>
    <font>
      <b/>
      <sz val="10"/>
      <color theme="0"/>
      <name val="Arial"/>
      <family val="2"/>
    </font>
    <font>
      <sz val="10"/>
      <color rgb="FFFF0000"/>
      <name val="Arial"/>
      <family val="2"/>
    </font>
    <font>
      <i/>
      <sz val="10"/>
      <color rgb="FF7F7F7F"/>
      <name val="Arial"/>
      <family val="2"/>
    </font>
    <font>
      <sz val="10"/>
      <color theme="0"/>
      <name val="Arial"/>
      <family val="2"/>
    </font>
    <font>
      <sz val="10"/>
      <name val="Arial"/>
      <family val="2"/>
    </font>
    <font>
      <sz val="11"/>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BD1E5"/>
        <bgColor indexed="64"/>
      </patternFill>
    </fill>
    <fill>
      <patternFill patternType="solid">
        <fgColor rgb="FFD1EDC9"/>
        <bgColor indexed="64"/>
      </patternFill>
    </fill>
    <fill>
      <patternFill patternType="solid">
        <fgColor rgb="FFC7EAF5"/>
        <bgColor indexed="64"/>
      </patternFill>
    </fill>
  </fills>
  <borders count="19">
    <border>
      <left/>
      <right/>
      <top/>
      <bottom/>
      <diagonal/>
    </border>
    <border>
      <left/>
      <right style="thin">
        <color indexed="64"/>
      </right>
      <top/>
      <bottom/>
      <diagonal/>
    </border>
    <border>
      <left style="thin">
        <color indexed="64"/>
      </left>
      <right/>
      <top/>
      <bottom/>
      <diagonal/>
    </border>
    <border>
      <left style="thin">
        <color indexed="64"/>
      </left>
      <right style="thin">
        <color indexed="64"/>
      </right>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theme="0"/>
      </right>
      <top style="thin">
        <color theme="0"/>
      </top>
      <bottom style="thin">
        <color theme="0"/>
      </bottom>
      <diagonal/>
    </border>
    <border>
      <left style="thin">
        <color auto="1"/>
      </left>
      <right style="thin">
        <color theme="0"/>
      </right>
      <top style="thin">
        <color theme="0"/>
      </top>
      <bottom style="thin">
        <color auto="1"/>
      </bottom>
      <diagonal/>
    </border>
  </borders>
  <cellStyleXfs count="45">
    <xf numFmtId="0" fontId="0" fillId="0" borderId="0"/>
    <xf numFmtId="9" fontId="1" fillId="0" borderId="0" applyFont="0" applyFill="0" applyBorder="0" applyAlignment="0" applyProtection="0"/>
    <xf numFmtId="0" fontId="4" fillId="0" borderId="0" applyNumberFormat="0" applyFill="0" applyBorder="0" applyAlignment="0" applyProtection="0"/>
    <xf numFmtId="0" fontId="6" fillId="0" borderId="0" applyNumberFormat="0" applyFill="0" applyBorder="0" applyAlignment="0" applyProtection="0"/>
    <xf numFmtId="0" fontId="7" fillId="0" borderId="8" applyNumberFormat="0" applyFill="0" applyAlignment="0" applyProtection="0"/>
    <xf numFmtId="0" fontId="8" fillId="0" borderId="9" applyNumberFormat="0" applyFill="0" applyAlignment="0" applyProtection="0"/>
    <xf numFmtId="0" fontId="9" fillId="0" borderId="10"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11" applyNumberFormat="0" applyAlignment="0" applyProtection="0"/>
    <xf numFmtId="0" fontId="14" fillId="6" borderId="12" applyNumberFormat="0" applyAlignment="0" applyProtection="0"/>
    <xf numFmtId="0" fontId="15" fillId="6" borderId="11" applyNumberFormat="0" applyAlignment="0" applyProtection="0"/>
    <xf numFmtId="0" fontId="16" fillId="0" borderId="13" applyNumberFormat="0" applyFill="0" applyAlignment="0" applyProtection="0"/>
    <xf numFmtId="0" fontId="17" fillId="7" borderId="14" applyNumberFormat="0" applyAlignment="0" applyProtection="0"/>
    <xf numFmtId="0" fontId="18" fillId="0" borderId="0" applyNumberFormat="0" applyFill="0" applyBorder="0" applyAlignment="0" applyProtection="0"/>
    <xf numFmtId="0" fontId="1" fillId="8" borderId="15" applyNumberFormat="0" applyFont="0" applyAlignment="0" applyProtection="0"/>
    <xf numFmtId="0" fontId="19" fillId="0" borderId="0" applyNumberFormat="0" applyFill="0" applyBorder="0" applyAlignment="0" applyProtection="0"/>
    <xf numFmtId="0" fontId="2" fillId="0" borderId="16" applyNumberFormat="0" applyFill="0" applyAlignment="0" applyProtection="0"/>
    <xf numFmtId="0" fontId="20"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20"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0"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0"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0"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0"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cellStyleXfs>
  <cellXfs count="32">
    <xf numFmtId="0" fontId="0" fillId="0" borderId="0" xfId="0"/>
    <xf numFmtId="0" fontId="3" fillId="0" borderId="0" xfId="0" applyFont="1" applyBorder="1" applyAlignment="1">
      <alignment vertical="center"/>
    </xf>
    <xf numFmtId="49" fontId="0" fillId="0" borderId="0" xfId="0" applyNumberFormat="1" applyBorder="1" applyAlignment="1">
      <alignment vertical="center"/>
    </xf>
    <xf numFmtId="0" fontId="0" fillId="0" borderId="0" xfId="0" applyBorder="1" applyAlignment="1">
      <alignment vertical="center"/>
    </xf>
    <xf numFmtId="0" fontId="4" fillId="0" borderId="0" xfId="2" applyBorder="1" applyAlignment="1">
      <alignment vertical="center"/>
    </xf>
    <xf numFmtId="0" fontId="2" fillId="0" borderId="3" xfId="0" applyFont="1" applyBorder="1" applyAlignment="1">
      <alignment horizontal="center" vertical="center" wrapText="1"/>
    </xf>
    <xf numFmtId="0" fontId="2" fillId="0" borderId="4" xfId="0" applyFont="1" applyBorder="1" applyAlignment="1">
      <alignment vertical="center"/>
    </xf>
    <xf numFmtId="0" fontId="2" fillId="0" borderId="5" xfId="0" applyFont="1" applyBorder="1" applyAlignment="1">
      <alignment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0" xfId="0" applyFont="1" applyBorder="1" applyAlignment="1">
      <alignment vertical="center"/>
    </xf>
    <xf numFmtId="164" fontId="0" fillId="0" borderId="0" xfId="1" applyNumberFormat="1" applyFont="1"/>
    <xf numFmtId="2" fontId="0" fillId="0" borderId="0" xfId="0" applyNumberFormat="1"/>
    <xf numFmtId="0" fontId="0" fillId="0" borderId="0" xfId="0"/>
    <xf numFmtId="0" fontId="0" fillId="0" borderId="0" xfId="0"/>
    <xf numFmtId="0" fontId="5" fillId="0" borderId="0" xfId="0" applyFont="1" applyAlignment="1">
      <alignment horizontal="left" vertical="top" wrapText="1"/>
    </xf>
    <xf numFmtId="0" fontId="2" fillId="0" borderId="2" xfId="0" applyFont="1" applyBorder="1" applyAlignment="1">
      <alignment horizontal="center" vertical="center" wrapText="1"/>
    </xf>
    <xf numFmtId="0" fontId="2" fillId="0" borderId="1" xfId="0" applyFont="1" applyBorder="1" applyAlignment="1">
      <alignment horizontal="center" vertical="center" wrapText="1"/>
    </xf>
    <xf numFmtId="0" fontId="2" fillId="0" borderId="0" xfId="0" applyFont="1" applyBorder="1" applyAlignment="1">
      <alignment horizontal="center" vertical="center" wrapText="1"/>
    </xf>
    <xf numFmtId="0" fontId="0" fillId="0" borderId="1" xfId="0" applyBorder="1" applyAlignment="1">
      <alignment horizontal="center" vertical="center" wrapText="1"/>
    </xf>
    <xf numFmtId="0" fontId="2" fillId="0" borderId="2" xfId="0" applyFont="1" applyBorder="1" applyAlignment="1">
      <alignment horizontal="center" vertical="center"/>
    </xf>
    <xf numFmtId="0" fontId="2" fillId="0" borderId="0" xfId="0" applyFont="1" applyBorder="1" applyAlignment="1">
      <alignment horizontal="center" vertical="center"/>
    </xf>
    <xf numFmtId="0" fontId="0" fillId="0" borderId="1" xfId="0" applyBorder="1" applyAlignment="1">
      <alignment horizontal="center" vertical="center"/>
    </xf>
    <xf numFmtId="0" fontId="2" fillId="0" borderId="1" xfId="0" applyFont="1" applyBorder="1" applyAlignment="1">
      <alignment horizontal="center" vertical="center"/>
    </xf>
    <xf numFmtId="0" fontId="22" fillId="33" borderId="17" xfId="44" applyFont="1" applyFill="1" applyBorder="1" applyAlignment="1">
      <alignment vertical="center"/>
    </xf>
    <xf numFmtId="0" fontId="22" fillId="34" borderId="17" xfId="44" applyFont="1" applyFill="1" applyBorder="1" applyAlignment="1">
      <alignment vertical="center"/>
    </xf>
    <xf numFmtId="0" fontId="22" fillId="35" borderId="17" xfId="44" applyFont="1" applyFill="1" applyBorder="1" applyAlignment="1">
      <alignment vertical="center"/>
    </xf>
    <xf numFmtId="0" fontId="22" fillId="35" borderId="18" xfId="44" applyFont="1" applyFill="1" applyBorder="1" applyAlignment="1">
      <alignment vertical="center"/>
    </xf>
    <xf numFmtId="0" fontId="0" fillId="0" borderId="0" xfId="0" applyAlignment="1"/>
    <xf numFmtId="10" fontId="0" fillId="0" borderId="0" xfId="1" applyNumberFormat="1" applyFont="1"/>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2" builtinId="8"/>
    <cellStyle name="Input" xfId="11" builtinId="20" customBuiltin="1"/>
    <cellStyle name="Linked Cell" xfId="14" builtinId="24" customBuiltin="1"/>
    <cellStyle name="Neutral" xfId="10" builtinId="28" customBuiltin="1"/>
    <cellStyle name="Normal" xfId="0" builtinId="0"/>
    <cellStyle name="Normal 2" xfId="44"/>
    <cellStyle name="Note" xfId="17" builtinId="10" customBuiltin="1"/>
    <cellStyle name="Output" xfId="12" builtinId="21" customBuiltin="1"/>
    <cellStyle name="Percent" xfId="1" builtinId="5"/>
    <cellStyle name="Title" xfId="3" builtinId="15" customBuiltin="1"/>
    <cellStyle name="Total" xfId="19" builtinId="25" customBuiltin="1"/>
    <cellStyle name="Warning Text" xfId="16"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blackrock.com/institutions/en-zz/insights/charts/capital-market-assumption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AQ247"/>
  <sheetViews>
    <sheetView workbookViewId="0">
      <pane ySplit="3" topLeftCell="A175" activePane="bottomLeft" state="frozen"/>
      <selection pane="bottomLeft" activeCell="A172" sqref="A172:AO200"/>
    </sheetView>
  </sheetViews>
  <sheetFormatPr defaultRowHeight="13.2" x14ac:dyDescent="0.25"/>
  <cols>
    <col min="1" max="1" width="14.88671875" customWidth="1"/>
    <col min="2" max="2" width="14.88671875" style="16" customWidth="1"/>
    <col min="3" max="3" width="14.88671875" customWidth="1"/>
    <col min="4" max="4" width="29.6640625" customWidth="1"/>
    <col min="5" max="5" width="32.88671875" customWidth="1"/>
    <col min="6" max="9" width="0" hidden="1" customWidth="1"/>
    <col min="10" max="10" width="9.109375" customWidth="1"/>
    <col min="11" max="11" width="0" hidden="1" customWidth="1"/>
    <col min="12" max="12" width="0" style="16" hidden="1" customWidth="1"/>
    <col min="13" max="18" width="0" hidden="1" customWidth="1"/>
    <col min="19" max="19" width="0" style="16" hidden="1" customWidth="1"/>
    <col min="20" max="25" width="0" hidden="1" customWidth="1"/>
    <col min="26" max="26" width="0" style="16" hidden="1" customWidth="1"/>
    <col min="27" max="32" width="0" hidden="1" customWidth="1"/>
    <col min="33" max="33" width="0" style="16" hidden="1" customWidth="1"/>
    <col min="34" max="39" width="0" hidden="1" customWidth="1"/>
    <col min="40" max="40" width="0" style="16" hidden="1" customWidth="1"/>
    <col min="41" max="41" width="10.33203125" customWidth="1"/>
    <col min="42" max="42" width="17.5546875" hidden="1" customWidth="1"/>
    <col min="43" max="43" width="10.88671875" hidden="1" customWidth="1"/>
  </cols>
  <sheetData>
    <row r="1" spans="1:43" s="1" customFormat="1" ht="33.75" customHeight="1" x14ac:dyDescent="0.25">
      <c r="A1" s="1" t="s">
        <v>0</v>
      </c>
    </row>
    <row r="2" spans="1:43" s="3" customFormat="1" ht="19.5" hidden="1" customHeight="1" x14ac:dyDescent="0.25">
      <c r="A2" s="2" t="s">
        <v>181</v>
      </c>
      <c r="B2" s="2"/>
      <c r="D2" s="4" t="s">
        <v>1</v>
      </c>
      <c r="F2" s="20" t="s">
        <v>2</v>
      </c>
      <c r="G2" s="20"/>
      <c r="H2" s="20"/>
      <c r="I2" s="20"/>
      <c r="J2" s="20"/>
      <c r="K2" s="19"/>
      <c r="L2" s="21"/>
      <c r="M2" s="22" t="s">
        <v>48</v>
      </c>
      <c r="N2" s="23"/>
      <c r="O2" s="23"/>
      <c r="P2" s="23"/>
      <c r="Q2" s="23"/>
      <c r="R2" s="23"/>
      <c r="S2" s="24"/>
      <c r="T2" s="22" t="s">
        <v>49</v>
      </c>
      <c r="U2" s="23"/>
      <c r="V2" s="23"/>
      <c r="W2" s="23"/>
      <c r="X2" s="23"/>
      <c r="Y2" s="25"/>
      <c r="Z2" s="24"/>
      <c r="AA2" s="22" t="s">
        <v>50</v>
      </c>
      <c r="AB2" s="23"/>
      <c r="AC2" s="23"/>
      <c r="AD2" s="23"/>
      <c r="AE2" s="23"/>
      <c r="AF2" s="25"/>
      <c r="AG2" s="24"/>
      <c r="AH2" s="22" t="s">
        <v>51</v>
      </c>
      <c r="AI2" s="23"/>
      <c r="AJ2" s="23"/>
      <c r="AK2" s="23"/>
      <c r="AL2" s="23"/>
      <c r="AM2" s="23"/>
      <c r="AN2" s="24"/>
      <c r="AO2" s="5" t="s">
        <v>3</v>
      </c>
      <c r="AP2" s="18" t="s">
        <v>4</v>
      </c>
      <c r="AQ2" s="19"/>
    </row>
    <row r="3" spans="1:43" s="12" customFormat="1" ht="19.5" hidden="1" customHeight="1" thickBot="1" x14ac:dyDescent="0.3">
      <c r="A3" s="6" t="s">
        <v>5</v>
      </c>
      <c r="B3" s="6"/>
      <c r="C3" s="6" t="s">
        <v>6</v>
      </c>
      <c r="D3" s="6" t="s">
        <v>7</v>
      </c>
      <c r="E3" s="7" t="s">
        <v>8</v>
      </c>
      <c r="F3" s="8" t="s">
        <v>9</v>
      </c>
      <c r="G3" s="8" t="s">
        <v>10</v>
      </c>
      <c r="H3" s="8" t="s">
        <v>11</v>
      </c>
      <c r="I3" s="8" t="s">
        <v>12</v>
      </c>
      <c r="J3" s="8" t="s">
        <v>13</v>
      </c>
      <c r="K3" s="8" t="s">
        <v>14</v>
      </c>
      <c r="L3" s="9" t="s">
        <v>169</v>
      </c>
      <c r="M3" s="8" t="s">
        <v>9</v>
      </c>
      <c r="N3" s="8" t="s">
        <v>10</v>
      </c>
      <c r="O3" s="8" t="s">
        <v>11</v>
      </c>
      <c r="P3" s="8" t="s">
        <v>12</v>
      </c>
      <c r="Q3" s="8" t="s">
        <v>13</v>
      </c>
      <c r="R3" s="8" t="s">
        <v>14</v>
      </c>
      <c r="S3" s="8" t="s">
        <v>169</v>
      </c>
      <c r="T3" s="10" t="s">
        <v>9</v>
      </c>
      <c r="U3" s="8" t="s">
        <v>10</v>
      </c>
      <c r="V3" s="8" t="s">
        <v>11</v>
      </c>
      <c r="W3" s="8" t="s">
        <v>12</v>
      </c>
      <c r="X3" s="8" t="s">
        <v>13</v>
      </c>
      <c r="Y3" s="8" t="s">
        <v>14</v>
      </c>
      <c r="Z3" s="8" t="s">
        <v>169</v>
      </c>
      <c r="AA3" s="10" t="s">
        <v>9</v>
      </c>
      <c r="AB3" s="8" t="s">
        <v>10</v>
      </c>
      <c r="AC3" s="8" t="s">
        <v>11</v>
      </c>
      <c r="AD3" s="8" t="s">
        <v>12</v>
      </c>
      <c r="AE3" s="8" t="s">
        <v>13</v>
      </c>
      <c r="AF3" s="8" t="s">
        <v>14</v>
      </c>
      <c r="AG3" s="8" t="s">
        <v>169</v>
      </c>
      <c r="AH3" s="10" t="s">
        <v>9</v>
      </c>
      <c r="AI3" s="8" t="s">
        <v>10</v>
      </c>
      <c r="AJ3" s="8" t="s">
        <v>11</v>
      </c>
      <c r="AK3" s="8" t="s">
        <v>12</v>
      </c>
      <c r="AL3" s="8" t="s">
        <v>13</v>
      </c>
      <c r="AM3" s="8" t="s">
        <v>14</v>
      </c>
      <c r="AN3" s="8" t="s">
        <v>169</v>
      </c>
      <c r="AO3" s="11"/>
      <c r="AP3" s="10" t="s">
        <v>175</v>
      </c>
      <c r="AQ3" s="9" t="s">
        <v>15</v>
      </c>
    </row>
    <row r="4" spans="1:43" hidden="1" x14ac:dyDescent="0.25">
      <c r="A4" s="15" t="s">
        <v>146</v>
      </c>
      <c r="B4" s="16" t="e">
        <f>VLOOKUP(Sheet1!D4,Sheet2!A1,1,FALSE)</f>
        <v>#N/A</v>
      </c>
      <c r="C4" s="15" t="s">
        <v>15</v>
      </c>
      <c r="D4" s="15" t="s">
        <v>17</v>
      </c>
      <c r="E4" s="16" t="s">
        <v>29</v>
      </c>
      <c r="F4" s="13">
        <v>6.5321164000000001E-2</v>
      </c>
      <c r="G4" s="13">
        <v>6.7722765000000004E-2</v>
      </c>
      <c r="H4" s="13">
        <v>7.2699661999999998E-2</v>
      </c>
      <c r="I4" s="13">
        <v>7.8422226999999997E-2</v>
      </c>
      <c r="J4" s="13">
        <v>8.1624167999999997E-2</v>
      </c>
      <c r="K4" s="13">
        <v>8.3557062000000001E-2</v>
      </c>
      <c r="L4" s="13">
        <v>8.4835221000000002E-2</v>
      </c>
      <c r="M4" s="13">
        <v>1.0519860000000001E-2</v>
      </c>
      <c r="N4" s="13">
        <v>1.7140774000000001E-2</v>
      </c>
      <c r="O4" s="13">
        <v>2.2931046E-2</v>
      </c>
      <c r="P4" s="13">
        <v>2.9060174000000001E-2</v>
      </c>
      <c r="Q4" s="13">
        <v>3.4151768999999998E-2</v>
      </c>
      <c r="R4" s="13">
        <v>3.8443726999999997E-2</v>
      </c>
      <c r="S4" s="13">
        <v>4.2033952999999999E-2</v>
      </c>
      <c r="T4" s="13">
        <v>0.12287031599999999</v>
      </c>
      <c r="U4" s="13">
        <v>0.12091771900000001</v>
      </c>
      <c r="V4" s="13">
        <v>0.124304727</v>
      </c>
      <c r="W4" s="13">
        <v>0.13013359999999999</v>
      </c>
      <c r="X4" s="13">
        <v>0.13146780599999999</v>
      </c>
      <c r="Y4" s="13">
        <v>0.13048183899999999</v>
      </c>
      <c r="Z4" s="13">
        <v>0.12944640800000001</v>
      </c>
      <c r="AA4" s="13">
        <v>3.0245052000000001E-2</v>
      </c>
      <c r="AB4" s="13">
        <v>3.0995839000000001E-2</v>
      </c>
      <c r="AC4" s="13">
        <v>3.1433343000000002E-2</v>
      </c>
      <c r="AD4" s="13">
        <v>3.4606525999999999E-2</v>
      </c>
      <c r="AE4" s="13">
        <v>4.0011178000000001E-2</v>
      </c>
      <c r="AF4" s="13">
        <v>4.3737091999999998E-2</v>
      </c>
      <c r="AG4" s="13">
        <v>4.6049564000000001E-2</v>
      </c>
      <c r="AH4" s="13">
        <v>0.101591493</v>
      </c>
      <c r="AI4" s="13">
        <v>0.105758007</v>
      </c>
      <c r="AJ4" s="13">
        <v>0.115616993</v>
      </c>
      <c r="AK4" s="13">
        <v>0.12409353100000001</v>
      </c>
      <c r="AL4" s="13">
        <v>0.124902192</v>
      </c>
      <c r="AM4" s="13">
        <v>0.12489622</v>
      </c>
      <c r="AN4" s="13">
        <v>0.12505898400000001</v>
      </c>
      <c r="AO4" s="13">
        <v>0.13424044500000001</v>
      </c>
      <c r="AP4" s="14">
        <v>-0.219290753</v>
      </c>
      <c r="AQ4" s="14">
        <v>0.82027771100000002</v>
      </c>
    </row>
    <row r="5" spans="1:43" hidden="1" x14ac:dyDescent="0.25">
      <c r="A5" s="15" t="s">
        <v>146</v>
      </c>
      <c r="B5" s="16" t="e">
        <f>VLOOKUP(Sheet1!D5,Sheet2!A2,1,FALSE)</f>
        <v>#N/A</v>
      </c>
      <c r="C5" s="15" t="s">
        <v>15</v>
      </c>
      <c r="D5" s="15" t="s">
        <v>192</v>
      </c>
      <c r="E5" s="16" t="s">
        <v>30</v>
      </c>
      <c r="F5" s="13">
        <v>4.1062487000000002E-2</v>
      </c>
      <c r="G5" s="13">
        <v>4.4765477999999997E-2</v>
      </c>
      <c r="H5" s="13">
        <v>5.2921639999999999E-2</v>
      </c>
      <c r="I5" s="13">
        <v>6.3236117999999994E-2</v>
      </c>
      <c r="J5" s="13">
        <v>6.9605344E-2</v>
      </c>
      <c r="K5" s="13">
        <v>7.3696722000000006E-2</v>
      </c>
      <c r="L5" s="13">
        <v>7.649396E-2</v>
      </c>
      <c r="M5" s="13">
        <v>-1.0768892E-2</v>
      </c>
      <c r="N5" s="13">
        <v>-1.8372740000000001E-3</v>
      </c>
      <c r="O5" s="13">
        <v>1.0915845E-2</v>
      </c>
      <c r="P5" s="13">
        <v>2.5325954000000001E-2</v>
      </c>
      <c r="Q5" s="13">
        <v>3.5170518999999997E-2</v>
      </c>
      <c r="R5" s="13">
        <v>4.1749187E-2</v>
      </c>
      <c r="S5" s="13">
        <v>4.6518689000000002E-2</v>
      </c>
      <c r="T5" s="13">
        <v>9.6662853000000007E-2</v>
      </c>
      <c r="U5" s="13">
        <v>9.3611071000000004E-2</v>
      </c>
      <c r="V5" s="13">
        <v>9.7016237000000005E-2</v>
      </c>
      <c r="W5" s="13">
        <v>0.102519895</v>
      </c>
      <c r="X5" s="13">
        <v>0.105249747</v>
      </c>
      <c r="Y5" s="13">
        <v>0.107093139</v>
      </c>
      <c r="Z5" s="13">
        <v>0.107532192</v>
      </c>
      <c r="AA5" s="13">
        <v>1.1356256E-2</v>
      </c>
      <c r="AB5" s="13">
        <v>1.7676627E-2</v>
      </c>
      <c r="AC5" s="13">
        <v>2.5778479999999999E-2</v>
      </c>
      <c r="AD5" s="13">
        <v>3.6350238999999999E-2</v>
      </c>
      <c r="AE5" s="13">
        <v>4.3430218E-2</v>
      </c>
      <c r="AF5" s="13">
        <v>4.8471142000000002E-2</v>
      </c>
      <c r="AG5" s="13">
        <v>5.2481070999999997E-2</v>
      </c>
      <c r="AH5" s="13">
        <v>7.1641267999999994E-2</v>
      </c>
      <c r="AI5" s="13">
        <v>7.2575388000000005E-2</v>
      </c>
      <c r="AJ5" s="13">
        <v>8.0783037000000002E-2</v>
      </c>
      <c r="AK5" s="13">
        <v>9.0819493000000001E-2</v>
      </c>
      <c r="AL5" s="13">
        <v>9.6437092000000002E-2</v>
      </c>
      <c r="AM5" s="13">
        <v>9.9529216000000004E-2</v>
      </c>
      <c r="AN5" s="13">
        <v>0.101054844</v>
      </c>
      <c r="AO5" s="13">
        <v>0.143466708</v>
      </c>
      <c r="AP5" s="14">
        <v>-0.23277084000000001</v>
      </c>
      <c r="AQ5" s="14">
        <v>0.98293873499999995</v>
      </c>
    </row>
    <row r="6" spans="1:43" hidden="1" x14ac:dyDescent="0.25">
      <c r="A6" s="15" t="s">
        <v>146</v>
      </c>
      <c r="B6" s="16" t="e">
        <f>VLOOKUP(Sheet1!D6,Sheet2!A3,1,FALSE)</f>
        <v>#N/A</v>
      </c>
      <c r="C6" s="15" t="s">
        <v>15</v>
      </c>
      <c r="D6" s="15" t="s">
        <v>18</v>
      </c>
      <c r="E6" s="16" t="s">
        <v>31</v>
      </c>
      <c r="F6" s="13">
        <v>5.3714525999999999E-2</v>
      </c>
      <c r="G6" s="13">
        <v>5.7876921999999997E-2</v>
      </c>
      <c r="H6" s="13">
        <v>6.7141280999999997E-2</v>
      </c>
      <c r="I6" s="13">
        <v>7.9035383000000001E-2</v>
      </c>
      <c r="J6" s="13">
        <v>8.6484641000000001E-2</v>
      </c>
      <c r="K6" s="13">
        <v>9.1309464000000007E-2</v>
      </c>
      <c r="L6" s="13">
        <v>9.4622358000000004E-2</v>
      </c>
      <c r="M6" s="13">
        <v>-1.6231139999999999E-3</v>
      </c>
      <c r="N6" s="13">
        <v>9.215773E-3</v>
      </c>
      <c r="O6" s="13">
        <v>2.4547138999999999E-2</v>
      </c>
      <c r="P6" s="13">
        <v>4.1527166999999997E-2</v>
      </c>
      <c r="Q6" s="13">
        <v>5.2654772000000002E-2</v>
      </c>
      <c r="R6" s="13">
        <v>6.0389093999999997E-2</v>
      </c>
      <c r="S6" s="13">
        <v>6.5701523999999997E-2</v>
      </c>
      <c r="T6" s="13">
        <v>0.111573329</v>
      </c>
      <c r="U6" s="13">
        <v>0.109035062</v>
      </c>
      <c r="V6" s="13">
        <v>0.111630433</v>
      </c>
      <c r="W6" s="13">
        <v>0.117955772</v>
      </c>
      <c r="X6" s="13">
        <v>0.121381963</v>
      </c>
      <c r="Y6" s="13">
        <v>0.122901043</v>
      </c>
      <c r="Z6" s="13">
        <v>0.124335696</v>
      </c>
      <c r="AA6" s="13">
        <v>2.5723025E-2</v>
      </c>
      <c r="AB6" s="13">
        <v>3.0866870000000001E-2</v>
      </c>
      <c r="AC6" s="13">
        <v>4.0653893000000003E-2</v>
      </c>
      <c r="AD6" s="13">
        <v>5.6161015000000002E-2</v>
      </c>
      <c r="AE6" s="13">
        <v>6.5022353000000005E-2</v>
      </c>
      <c r="AF6" s="13">
        <v>7.0731741000000001E-2</v>
      </c>
      <c r="AG6" s="13">
        <v>7.4478635000000001E-2</v>
      </c>
      <c r="AH6" s="13">
        <v>8.2469900999999998E-2</v>
      </c>
      <c r="AI6" s="13">
        <v>8.5594672999999996E-2</v>
      </c>
      <c r="AJ6" s="13">
        <v>9.4302842999999997E-2</v>
      </c>
      <c r="AK6" s="13">
        <v>0.10240516600000001</v>
      </c>
      <c r="AL6" s="13">
        <v>0.108379437</v>
      </c>
      <c r="AM6" s="13">
        <v>0.11228265900000001</v>
      </c>
      <c r="AN6" s="13">
        <v>0.115143733</v>
      </c>
      <c r="AO6" s="13">
        <v>0.15815701700000001</v>
      </c>
      <c r="AP6" s="14">
        <v>-0.19352544299999999</v>
      </c>
      <c r="AQ6" s="14">
        <v>0.55973787399999997</v>
      </c>
    </row>
    <row r="7" spans="1:43" hidden="1" x14ac:dyDescent="0.25">
      <c r="A7" s="15" t="s">
        <v>146</v>
      </c>
      <c r="B7" s="16" t="e">
        <f>VLOOKUP(Sheet1!D7,Sheet2!A4,1,FALSE)</f>
        <v>#N/A</v>
      </c>
      <c r="C7" s="15" t="s">
        <v>15</v>
      </c>
      <c r="D7" s="15" t="s">
        <v>54</v>
      </c>
      <c r="E7" s="16" t="s">
        <v>67</v>
      </c>
      <c r="F7" s="13">
        <v>4.9464371E-2</v>
      </c>
      <c r="G7" s="13">
        <v>5.2960568E-2</v>
      </c>
      <c r="H7" s="13">
        <v>6.0606840000000002E-2</v>
      </c>
      <c r="I7" s="13">
        <v>7.0176317000000002E-2</v>
      </c>
      <c r="J7" s="13">
        <v>7.6026916999999999E-2</v>
      </c>
      <c r="K7" s="13">
        <v>7.9763048000000003E-2</v>
      </c>
      <c r="L7" s="13">
        <v>8.2309559000000004E-2</v>
      </c>
      <c r="M7" s="13">
        <v>-1.3137904000000001E-2</v>
      </c>
      <c r="N7" s="13">
        <v>-4.9877369999999999E-3</v>
      </c>
      <c r="O7" s="13">
        <v>6.4062809999999998E-3</v>
      </c>
      <c r="P7" s="13">
        <v>1.9225761000000001E-2</v>
      </c>
      <c r="Q7" s="13">
        <v>2.8862863999999998E-2</v>
      </c>
      <c r="R7" s="13">
        <v>3.5713705999999998E-2</v>
      </c>
      <c r="S7" s="13">
        <v>4.1032534000000002E-2</v>
      </c>
      <c r="T7" s="13">
        <v>0.116966103</v>
      </c>
      <c r="U7" s="13">
        <v>0.114268655</v>
      </c>
      <c r="V7" s="13">
        <v>0.118222939</v>
      </c>
      <c r="W7" s="13">
        <v>0.123324796</v>
      </c>
      <c r="X7" s="13">
        <v>0.12584478900000001</v>
      </c>
      <c r="Y7" s="13">
        <v>0.12584136200000001</v>
      </c>
      <c r="Z7" s="13">
        <v>0.12508177000000001</v>
      </c>
      <c r="AA7" s="13">
        <v>8.8819510000000008E-3</v>
      </c>
      <c r="AB7" s="13">
        <v>1.1409608E-2</v>
      </c>
      <c r="AC7" s="13">
        <v>1.8298338000000001E-2</v>
      </c>
      <c r="AD7" s="13">
        <v>2.9207864E-2</v>
      </c>
      <c r="AE7" s="13">
        <v>3.5665241E-2</v>
      </c>
      <c r="AF7" s="13">
        <v>4.0773548E-2</v>
      </c>
      <c r="AG7" s="13">
        <v>4.4119037999999999E-2</v>
      </c>
      <c r="AH7" s="13">
        <v>9.1679240999999995E-2</v>
      </c>
      <c r="AI7" s="13">
        <v>9.6218534999999994E-2</v>
      </c>
      <c r="AJ7" s="13">
        <v>0.104673187</v>
      </c>
      <c r="AK7" s="13">
        <v>0.112775553</v>
      </c>
      <c r="AL7" s="13">
        <v>0.11796156200000001</v>
      </c>
      <c r="AM7" s="13">
        <v>0.120213176</v>
      </c>
      <c r="AN7" s="13">
        <v>0.12189697200000001</v>
      </c>
      <c r="AO7" s="13">
        <v>0.15426382599999999</v>
      </c>
      <c r="AP7" s="14">
        <v>-0.29281824699999998</v>
      </c>
      <c r="AQ7" s="14">
        <v>0.86445173900000005</v>
      </c>
    </row>
    <row r="8" spans="1:43" hidden="1" x14ac:dyDescent="0.25">
      <c r="A8" s="15" t="s">
        <v>146</v>
      </c>
      <c r="B8" s="16" t="e">
        <f>VLOOKUP(Sheet1!D8,Sheet2!A5,1,FALSE)</f>
        <v>#N/A</v>
      </c>
      <c r="C8" s="15" t="s">
        <v>15</v>
      </c>
      <c r="D8" s="15" t="s">
        <v>147</v>
      </c>
      <c r="E8" s="16" t="s">
        <v>154</v>
      </c>
      <c r="F8" s="13">
        <v>4.8952348999999999E-2</v>
      </c>
      <c r="G8" s="13">
        <v>5.2201310000000001E-2</v>
      </c>
      <c r="H8" s="13">
        <v>5.9247077000000002E-2</v>
      </c>
      <c r="I8" s="13">
        <v>6.7954473000000001E-2</v>
      </c>
      <c r="J8" s="13">
        <v>7.3212876999999996E-2</v>
      </c>
      <c r="K8" s="13">
        <v>7.6546115999999997E-2</v>
      </c>
      <c r="L8" s="13">
        <v>7.8809239000000003E-2</v>
      </c>
      <c r="M8" s="13">
        <v>4.7283100000000003E-3</v>
      </c>
      <c r="N8" s="13">
        <v>1.2625160999999999E-2</v>
      </c>
      <c r="O8" s="13">
        <v>2.4356085999999999E-2</v>
      </c>
      <c r="P8" s="13">
        <v>3.7539505000000001E-2</v>
      </c>
      <c r="Q8" s="13">
        <v>4.5867467000000002E-2</v>
      </c>
      <c r="R8" s="13">
        <v>5.1679904999999998E-2</v>
      </c>
      <c r="S8" s="13">
        <v>5.5573322000000001E-2</v>
      </c>
      <c r="T8" s="13">
        <v>9.6066931999999994E-2</v>
      </c>
      <c r="U8" s="13">
        <v>9.2840403000000002E-2</v>
      </c>
      <c r="V8" s="13">
        <v>9.5448455000000001E-2</v>
      </c>
      <c r="W8" s="13">
        <v>9.9242683999999998E-2</v>
      </c>
      <c r="X8" s="13">
        <v>0.101493996</v>
      </c>
      <c r="Y8" s="13">
        <v>0.102390462</v>
      </c>
      <c r="Z8" s="13">
        <v>0.10247829899999999</v>
      </c>
      <c r="AA8" s="13">
        <v>2.7545587999999999E-2</v>
      </c>
      <c r="AB8" s="13">
        <v>3.1946286999999997E-2</v>
      </c>
      <c r="AC8" s="13">
        <v>3.9060849000000002E-2</v>
      </c>
      <c r="AD8" s="13">
        <v>4.8438944999999997E-2</v>
      </c>
      <c r="AE8" s="13">
        <v>5.5046104999999998E-2</v>
      </c>
      <c r="AF8" s="13">
        <v>5.9718418000000002E-2</v>
      </c>
      <c r="AG8" s="13">
        <v>6.3260038000000005E-2</v>
      </c>
      <c r="AH8" s="13">
        <v>7.0805074999999995E-2</v>
      </c>
      <c r="AI8" s="13">
        <v>7.2853899E-2</v>
      </c>
      <c r="AJ8" s="13">
        <v>7.9825470999999995E-2</v>
      </c>
      <c r="AK8" s="13">
        <v>8.7833261999999995E-2</v>
      </c>
      <c r="AL8" s="13">
        <v>9.1692462000000002E-2</v>
      </c>
      <c r="AM8" s="13">
        <v>9.3641032999999999E-2</v>
      </c>
      <c r="AN8" s="13">
        <v>9.4585832999999994E-2</v>
      </c>
      <c r="AO8" s="13">
        <v>0.12748025299999999</v>
      </c>
      <c r="AP8" s="14">
        <v>-0.243846286</v>
      </c>
      <c r="AQ8" s="14">
        <v>1</v>
      </c>
    </row>
    <row r="9" spans="1:43" hidden="1" x14ac:dyDescent="0.25">
      <c r="A9" s="15" t="s">
        <v>146</v>
      </c>
      <c r="B9" s="16" t="e">
        <f>VLOOKUP(Sheet1!D9,Sheet2!A6,1,FALSE)</f>
        <v>#N/A</v>
      </c>
      <c r="C9" s="15" t="s">
        <v>15</v>
      </c>
      <c r="D9" s="15" t="s">
        <v>148</v>
      </c>
      <c r="E9" s="16" t="s">
        <v>155</v>
      </c>
      <c r="F9" s="13">
        <v>6.7778960999999999E-2</v>
      </c>
      <c r="G9" s="13">
        <v>6.9425437000000007E-2</v>
      </c>
      <c r="H9" s="13">
        <v>7.2573198000000005E-2</v>
      </c>
      <c r="I9" s="13">
        <v>7.5684468000000005E-2</v>
      </c>
      <c r="J9" s="13">
        <v>7.7103225999999997E-2</v>
      </c>
      <c r="K9" s="13">
        <v>7.7828151999999998E-2</v>
      </c>
      <c r="L9" s="13">
        <v>7.8259275000000003E-2</v>
      </c>
      <c r="M9" s="13">
        <v>-3.6019849999999998E-3</v>
      </c>
      <c r="N9" s="13">
        <v>8.28815E-4</v>
      </c>
      <c r="O9" s="13">
        <v>3.9266040000000002E-3</v>
      </c>
      <c r="P9" s="13">
        <v>6.3887950000000001E-3</v>
      </c>
      <c r="Q9" s="13">
        <v>9.7283100000000004E-3</v>
      </c>
      <c r="R9" s="13">
        <v>1.2362672E-2</v>
      </c>
      <c r="S9" s="13">
        <v>1.6154761E-2</v>
      </c>
      <c r="T9" s="13">
        <v>0.14484275499999999</v>
      </c>
      <c r="U9" s="13">
        <v>0.14182536400000001</v>
      </c>
      <c r="V9" s="13">
        <v>0.14587735900000001</v>
      </c>
      <c r="W9" s="13">
        <v>0.148726576</v>
      </c>
      <c r="X9" s="13">
        <v>0.14919684799999999</v>
      </c>
      <c r="Y9" s="13">
        <v>0.146714926</v>
      </c>
      <c r="Z9" s="13">
        <v>0.14377490000000001</v>
      </c>
      <c r="AA9" s="13">
        <v>1.5781727999999998E-2</v>
      </c>
      <c r="AB9" s="13">
        <v>1.6865264000000001E-2</v>
      </c>
      <c r="AC9" s="13">
        <v>1.5137138E-2</v>
      </c>
      <c r="AD9" s="13">
        <v>1.1955070999999999E-2</v>
      </c>
      <c r="AE9" s="13">
        <v>1.7044772999999999E-2</v>
      </c>
      <c r="AF9" s="13">
        <v>1.8087425000000001E-2</v>
      </c>
      <c r="AG9" s="13">
        <v>2.0869092999999998E-2</v>
      </c>
      <c r="AH9" s="13">
        <v>0.122437899</v>
      </c>
      <c r="AI9" s="13">
        <v>0.124702365</v>
      </c>
      <c r="AJ9" s="13">
        <v>0.13325896700000001</v>
      </c>
      <c r="AK9" s="13">
        <v>0.143427322</v>
      </c>
      <c r="AL9" s="13">
        <v>0.14070824800000001</v>
      </c>
      <c r="AM9" s="13">
        <v>0.141074428</v>
      </c>
      <c r="AN9" s="13">
        <v>0.13887576400000001</v>
      </c>
      <c r="AO9" s="13">
        <v>0.16240559800000001</v>
      </c>
      <c r="AP9" s="14">
        <v>-0.11800682899999999</v>
      </c>
      <c r="AQ9" s="14">
        <v>0.50686008500000002</v>
      </c>
    </row>
    <row r="10" spans="1:43" hidden="1" x14ac:dyDescent="0.25">
      <c r="A10" s="15" t="s">
        <v>146</v>
      </c>
      <c r="B10" s="16" t="e">
        <f>VLOOKUP(Sheet1!D10,Sheet2!A7,1,FALSE)</f>
        <v>#N/A</v>
      </c>
      <c r="C10" s="15" t="s">
        <v>15</v>
      </c>
      <c r="D10" s="15" t="s">
        <v>171</v>
      </c>
      <c r="E10" s="16" t="s">
        <v>164</v>
      </c>
      <c r="F10" s="13">
        <v>6.3336022000000006E-2</v>
      </c>
      <c r="G10" s="13">
        <v>6.4629834999999997E-2</v>
      </c>
      <c r="H10" s="13">
        <v>6.6929193999999997E-2</v>
      </c>
      <c r="I10" s="13">
        <v>6.8840048000000001E-2</v>
      </c>
      <c r="J10" s="13">
        <v>6.9445141000000002E-2</v>
      </c>
      <c r="K10" s="13">
        <v>6.9621195999999996E-2</v>
      </c>
      <c r="L10" s="13">
        <v>6.9668374000000005E-2</v>
      </c>
      <c r="M10" s="13">
        <v>-7.2392445E-2</v>
      </c>
      <c r="N10" s="13">
        <v>-6.9281053999999995E-2</v>
      </c>
      <c r="O10" s="13">
        <v>-7.6855258999999995E-2</v>
      </c>
      <c r="P10" s="13">
        <v>-8.4647912000000006E-2</v>
      </c>
      <c r="Q10" s="13">
        <v>-8.1470294999999998E-2</v>
      </c>
      <c r="R10" s="13">
        <v>-7.7687175999999997E-2</v>
      </c>
      <c r="S10" s="13">
        <v>-7.3474862000000002E-2</v>
      </c>
      <c r="T10" s="13">
        <v>0.21897296799999999</v>
      </c>
      <c r="U10" s="13">
        <v>0.21646958099999999</v>
      </c>
      <c r="V10" s="13">
        <v>0.234778713</v>
      </c>
      <c r="W10" s="13">
        <v>0.24654406100000001</v>
      </c>
      <c r="X10" s="13">
        <v>0.24580324100000001</v>
      </c>
      <c r="Y10" s="13">
        <v>0.24021176699999999</v>
      </c>
      <c r="Z10" s="13">
        <v>0.23381914100000001</v>
      </c>
      <c r="AA10" s="13">
        <v>-4.4273290999999999E-2</v>
      </c>
      <c r="AB10" s="13">
        <v>-5.1421040000000001E-2</v>
      </c>
      <c r="AC10" s="13">
        <v>-6.3826468999999997E-2</v>
      </c>
      <c r="AD10" s="13">
        <v>-7.1218099000000007E-2</v>
      </c>
      <c r="AE10" s="13">
        <v>-7.1004264999999997E-2</v>
      </c>
      <c r="AF10" s="13">
        <v>-7.1351030999999995E-2</v>
      </c>
      <c r="AG10" s="13">
        <v>-6.3696401E-2</v>
      </c>
      <c r="AH10" s="13">
        <v>0.183061522</v>
      </c>
      <c r="AI10" s="13">
        <v>0.19487870400000001</v>
      </c>
      <c r="AJ10" s="13">
        <v>0.21594755900000001</v>
      </c>
      <c r="AK10" s="13">
        <v>0.23001869699999999</v>
      </c>
      <c r="AL10" s="13">
        <v>0.23112831</v>
      </c>
      <c r="AM10" s="13">
        <v>0.23199351100000001</v>
      </c>
      <c r="AN10" s="13">
        <v>0.22202930700000001</v>
      </c>
      <c r="AO10" s="13">
        <v>0.30021052300000001</v>
      </c>
      <c r="AP10" s="14">
        <v>-9.3623153000000001E-2</v>
      </c>
      <c r="AQ10" s="14">
        <v>0.24568995699999999</v>
      </c>
    </row>
    <row r="11" spans="1:43" hidden="1" x14ac:dyDescent="0.25">
      <c r="A11" s="15" t="s">
        <v>146</v>
      </c>
      <c r="B11" s="16" t="e">
        <f>VLOOKUP(Sheet1!D11,Sheet2!A8,1,FALSE)</f>
        <v>#N/A</v>
      </c>
      <c r="C11" s="15" t="s">
        <v>15</v>
      </c>
      <c r="D11" s="15" t="s">
        <v>170</v>
      </c>
      <c r="E11" s="16" t="s">
        <v>165</v>
      </c>
      <c r="F11" s="13">
        <v>5.2735665000000001E-2</v>
      </c>
      <c r="G11" s="13">
        <v>5.7542146000000002E-2</v>
      </c>
      <c r="H11" s="13">
        <v>6.8378359E-2</v>
      </c>
      <c r="I11" s="13">
        <v>8.2545758999999996E-2</v>
      </c>
      <c r="J11" s="13">
        <v>9.1567455000000006E-2</v>
      </c>
      <c r="K11" s="13">
        <v>9.7466865999999999E-2</v>
      </c>
      <c r="L11" s="13">
        <v>0.101537842</v>
      </c>
      <c r="M11" s="13">
        <v>-4.7149874000000001E-2</v>
      </c>
      <c r="N11" s="13">
        <v>-3.3629507000000003E-2</v>
      </c>
      <c r="O11" s="13">
        <v>-1.946581E-2</v>
      </c>
      <c r="P11" s="13">
        <v>-2.8230360000000001E-3</v>
      </c>
      <c r="Q11" s="13">
        <v>9.0568119999999992E-3</v>
      </c>
      <c r="R11" s="13">
        <v>1.9193298000000001E-2</v>
      </c>
      <c r="S11" s="13">
        <v>2.7854737000000001E-2</v>
      </c>
      <c r="T11" s="13">
        <v>0.161585855</v>
      </c>
      <c r="U11" s="13">
        <v>0.15796929900000001</v>
      </c>
      <c r="V11" s="13">
        <v>0.16403392</v>
      </c>
      <c r="W11" s="13">
        <v>0.175104224</v>
      </c>
      <c r="X11" s="13">
        <v>0.18109555999999999</v>
      </c>
      <c r="Y11" s="13">
        <v>0.182011111</v>
      </c>
      <c r="Z11" s="13">
        <v>0.181252043</v>
      </c>
      <c r="AA11" s="13">
        <v>-1.7021847999999999E-2</v>
      </c>
      <c r="AB11" s="13">
        <v>-9.2219320000000004E-3</v>
      </c>
      <c r="AC11" s="13">
        <v>-1.057926E-3</v>
      </c>
      <c r="AD11" s="13">
        <v>1.041036E-2</v>
      </c>
      <c r="AE11" s="13">
        <v>1.8253162E-2</v>
      </c>
      <c r="AF11" s="13">
        <v>2.6382569000000002E-2</v>
      </c>
      <c r="AG11" s="13">
        <v>3.4391405E-2</v>
      </c>
      <c r="AH11" s="13">
        <v>0.12744355199999999</v>
      </c>
      <c r="AI11" s="13">
        <v>0.12880519000000001</v>
      </c>
      <c r="AJ11" s="13">
        <v>0.142641147</v>
      </c>
      <c r="AK11" s="13">
        <v>0.15983106499999999</v>
      </c>
      <c r="AL11" s="13">
        <v>0.17016039099999999</v>
      </c>
      <c r="AM11" s="13">
        <v>0.17347448500000001</v>
      </c>
      <c r="AN11" s="13">
        <v>0.17304301999999999</v>
      </c>
      <c r="AO11" s="13">
        <v>0.24433761800000001</v>
      </c>
      <c r="AP11" s="14">
        <v>-0.158741619</v>
      </c>
      <c r="AQ11" s="14">
        <v>0.34743039199999998</v>
      </c>
    </row>
    <row r="12" spans="1:43" hidden="1" x14ac:dyDescent="0.25">
      <c r="A12" s="15" t="s">
        <v>146</v>
      </c>
      <c r="B12" s="16" t="e">
        <f>VLOOKUP(Sheet1!D12,Sheet2!A9,1,FALSE)</f>
        <v>#N/A</v>
      </c>
      <c r="C12" s="15" t="s">
        <v>20</v>
      </c>
      <c r="D12" s="15" t="s">
        <v>21</v>
      </c>
      <c r="E12" s="16" t="s">
        <v>39</v>
      </c>
      <c r="F12" s="13">
        <v>2.7886556E-2</v>
      </c>
      <c r="G12" s="13">
        <v>3.1233594E-2</v>
      </c>
      <c r="H12" s="13">
        <v>3.8534785000000002E-2</v>
      </c>
      <c r="I12" s="13">
        <v>4.7637463999999997E-2</v>
      </c>
      <c r="J12" s="13">
        <v>5.3182076000000002E-2</v>
      </c>
      <c r="K12" s="13">
        <v>5.6714977999999999E-2</v>
      </c>
      <c r="L12" s="13">
        <v>5.9120184999999999E-2</v>
      </c>
      <c r="M12" s="13">
        <v>-1.9270642000000001E-2</v>
      </c>
      <c r="N12" s="13">
        <v>-1.3126364999999999E-2</v>
      </c>
      <c r="O12" s="13">
        <v>-4.6660529999999999E-3</v>
      </c>
      <c r="P12" s="13">
        <v>5.6265209999999998E-3</v>
      </c>
      <c r="Q12" s="13">
        <v>1.2414593999999999E-2</v>
      </c>
      <c r="R12" s="13">
        <v>1.7995549999999999E-2</v>
      </c>
      <c r="S12" s="13">
        <v>2.2237335E-2</v>
      </c>
      <c r="T12" s="13">
        <v>7.7743681999999995E-2</v>
      </c>
      <c r="U12" s="13">
        <v>7.7652399999999996E-2</v>
      </c>
      <c r="V12" s="13">
        <v>8.3802291000000001E-2</v>
      </c>
      <c r="W12" s="13">
        <v>9.1634259999999995E-2</v>
      </c>
      <c r="X12" s="13">
        <v>9.5675276000000004E-2</v>
      </c>
      <c r="Y12" s="13">
        <v>9.7258260999999999E-2</v>
      </c>
      <c r="Z12" s="13">
        <v>9.7796788999999995E-2</v>
      </c>
      <c r="AA12" s="13">
        <v>-4.8764489999999997E-3</v>
      </c>
      <c r="AB12" s="13">
        <v>-2.8467400000000001E-4</v>
      </c>
      <c r="AC12" s="13">
        <v>3.6860510000000001E-3</v>
      </c>
      <c r="AD12" s="13">
        <v>1.2898711E-2</v>
      </c>
      <c r="AE12" s="13">
        <v>1.7448117999999999E-2</v>
      </c>
      <c r="AF12" s="13">
        <v>2.2483558000000001E-2</v>
      </c>
      <c r="AG12" s="13">
        <v>2.7283016E-2</v>
      </c>
      <c r="AH12" s="13">
        <v>6.1728235999999999E-2</v>
      </c>
      <c r="AI12" s="13">
        <v>6.3745547999999999E-2</v>
      </c>
      <c r="AJ12" s="13">
        <v>7.4593493999999996E-2</v>
      </c>
      <c r="AK12" s="13">
        <v>8.3567632000000003E-2</v>
      </c>
      <c r="AL12" s="13">
        <v>9.0171301999999995E-2</v>
      </c>
      <c r="AM12" s="13">
        <v>9.2092431000000002E-2</v>
      </c>
      <c r="AN12" s="13">
        <v>9.1944053999999997E-2</v>
      </c>
      <c r="AO12" s="13">
        <v>0.115098293</v>
      </c>
      <c r="AP12" s="14">
        <v>0.352585818</v>
      </c>
      <c r="AQ12" s="14">
        <v>0.33439435499999998</v>
      </c>
    </row>
    <row r="13" spans="1:43" hidden="1" x14ac:dyDescent="0.25">
      <c r="A13" s="15" t="s">
        <v>146</v>
      </c>
      <c r="B13" s="16" t="e">
        <f>VLOOKUP(Sheet1!D13,Sheet2!A10,1,FALSE)</f>
        <v>#N/A</v>
      </c>
      <c r="C13" s="15" t="s">
        <v>20</v>
      </c>
      <c r="D13" s="15" t="s">
        <v>22</v>
      </c>
      <c r="E13" s="16" t="s">
        <v>41</v>
      </c>
      <c r="F13" s="13">
        <v>3.1916809999999997E-2</v>
      </c>
      <c r="G13" s="13">
        <v>3.3629021000000002E-2</v>
      </c>
      <c r="H13" s="13">
        <v>3.6963635000000002E-2</v>
      </c>
      <c r="I13" s="13">
        <v>4.0386866E-2</v>
      </c>
      <c r="J13" s="13">
        <v>4.2041621000000001E-2</v>
      </c>
      <c r="K13" s="13">
        <v>4.2934040999999999E-2</v>
      </c>
      <c r="L13" s="13">
        <v>4.3485071E-2</v>
      </c>
      <c r="M13" s="13">
        <v>-2.6227920000000001E-3</v>
      </c>
      <c r="N13" s="13">
        <v>2.113565E-3</v>
      </c>
      <c r="O13" s="13">
        <v>8.2484480000000002E-3</v>
      </c>
      <c r="P13" s="13">
        <v>1.4069988E-2</v>
      </c>
      <c r="Q13" s="13">
        <v>1.7628214999999999E-2</v>
      </c>
      <c r="R13" s="13">
        <v>2.0435727000000001E-2</v>
      </c>
      <c r="S13" s="13">
        <v>2.2351401E-2</v>
      </c>
      <c r="T13" s="13">
        <v>6.7791698999999997E-2</v>
      </c>
      <c r="U13" s="13">
        <v>6.5996347999999996E-2</v>
      </c>
      <c r="V13" s="13">
        <v>6.7030757999999996E-2</v>
      </c>
      <c r="W13" s="13">
        <v>6.7353703000000001E-2</v>
      </c>
      <c r="X13" s="13">
        <v>6.6903112000000001E-2</v>
      </c>
      <c r="Y13" s="13">
        <v>6.5852986000000002E-2</v>
      </c>
      <c r="Z13" s="13">
        <v>6.5017541999999998E-2</v>
      </c>
      <c r="AA13" s="13">
        <v>9.1369720000000001E-3</v>
      </c>
      <c r="AB13" s="13">
        <v>1.1614897000000001E-2</v>
      </c>
      <c r="AC13" s="13">
        <v>1.4507961999999999E-2</v>
      </c>
      <c r="AD13" s="13">
        <v>1.8103711000000001E-2</v>
      </c>
      <c r="AE13" s="13">
        <v>2.0793033999999998E-2</v>
      </c>
      <c r="AF13" s="13">
        <v>2.2861521999999999E-2</v>
      </c>
      <c r="AG13" s="13">
        <v>2.4879133000000001E-2</v>
      </c>
      <c r="AH13" s="13">
        <v>5.5210871000000002E-2</v>
      </c>
      <c r="AI13" s="13">
        <v>5.6122202000000003E-2</v>
      </c>
      <c r="AJ13" s="13">
        <v>5.9916355999999997E-2</v>
      </c>
      <c r="AK13" s="13">
        <v>6.3157730999999995E-2</v>
      </c>
      <c r="AL13" s="13">
        <v>6.3732514000000004E-2</v>
      </c>
      <c r="AM13" s="13">
        <v>6.3400462000000005E-2</v>
      </c>
      <c r="AN13" s="13">
        <v>6.2428786999999999E-2</v>
      </c>
      <c r="AO13" s="13">
        <v>8.3932497999999994E-2</v>
      </c>
      <c r="AP13" s="14">
        <v>0.13256810699999999</v>
      </c>
      <c r="AQ13" s="14">
        <v>0.34875746699999999</v>
      </c>
    </row>
    <row r="14" spans="1:43" hidden="1" x14ac:dyDescent="0.25">
      <c r="A14" s="15" t="s">
        <v>146</v>
      </c>
      <c r="B14" s="16" t="e">
        <f>VLOOKUP(Sheet1!D14,Sheet2!A11,1,FALSE)</f>
        <v>#N/A</v>
      </c>
      <c r="C14" s="15" t="s">
        <v>20</v>
      </c>
      <c r="D14" s="15" t="s">
        <v>131</v>
      </c>
      <c r="E14" s="16" t="s">
        <v>141</v>
      </c>
      <c r="F14" s="13">
        <v>4.1150724999999999E-2</v>
      </c>
      <c r="G14" s="13">
        <v>4.3513995999999999E-2</v>
      </c>
      <c r="H14" s="13">
        <v>4.8417122E-2</v>
      </c>
      <c r="I14" s="13">
        <v>5.4065786999999997E-2</v>
      </c>
      <c r="J14" s="13">
        <v>5.7233323000000003E-2</v>
      </c>
      <c r="K14" s="13">
        <v>5.9148291999999998E-2</v>
      </c>
      <c r="L14" s="13">
        <v>6.0415649000000002E-2</v>
      </c>
      <c r="M14" s="13">
        <v>4.1792490000000003E-3</v>
      </c>
      <c r="N14" s="13">
        <v>1.055598E-2</v>
      </c>
      <c r="O14" s="13">
        <v>1.7826535000000001E-2</v>
      </c>
      <c r="P14" s="13">
        <v>2.6663864999999998E-2</v>
      </c>
      <c r="Q14" s="13">
        <v>3.1434614E-2</v>
      </c>
      <c r="R14" s="13">
        <v>3.5082339999999997E-2</v>
      </c>
      <c r="S14" s="13">
        <v>3.7668398999999998E-2</v>
      </c>
      <c r="T14" s="13">
        <v>7.9316407000000005E-2</v>
      </c>
      <c r="U14" s="13">
        <v>7.7274270000000006E-2</v>
      </c>
      <c r="V14" s="13">
        <v>7.9579342999999997E-2</v>
      </c>
      <c r="W14" s="13">
        <v>8.2206264000000001E-2</v>
      </c>
      <c r="X14" s="13">
        <v>8.3444645999999997E-2</v>
      </c>
      <c r="Y14" s="13">
        <v>8.3516989999999999E-2</v>
      </c>
      <c r="Z14" s="13">
        <v>8.3578109999999997E-2</v>
      </c>
      <c r="AA14" s="13">
        <v>1.8882983999999998E-2</v>
      </c>
      <c r="AB14" s="13">
        <v>2.2557264E-2</v>
      </c>
      <c r="AC14" s="13">
        <v>2.7958173999999999E-2</v>
      </c>
      <c r="AD14" s="13">
        <v>3.4032931000000002E-2</v>
      </c>
      <c r="AE14" s="13">
        <v>3.7542007000000002E-2</v>
      </c>
      <c r="AF14" s="13">
        <v>4.0131673999999999E-2</v>
      </c>
      <c r="AG14" s="13">
        <v>4.2273378E-2</v>
      </c>
      <c r="AH14" s="13">
        <v>6.3905132000000003E-2</v>
      </c>
      <c r="AI14" s="13">
        <v>6.4900226000000005E-2</v>
      </c>
      <c r="AJ14" s="13">
        <v>6.9283254000000002E-2</v>
      </c>
      <c r="AK14" s="13">
        <v>7.4486749000000005E-2</v>
      </c>
      <c r="AL14" s="13">
        <v>7.7298357999999998E-2</v>
      </c>
      <c r="AM14" s="13">
        <v>7.8512588999999994E-2</v>
      </c>
      <c r="AN14" s="13">
        <v>7.8873710999999999E-2</v>
      </c>
      <c r="AO14" s="13">
        <v>9.4490237000000005E-2</v>
      </c>
      <c r="AP14" s="14">
        <v>3.8589406999999999E-2</v>
      </c>
      <c r="AQ14" s="14">
        <v>0.51615594499999995</v>
      </c>
    </row>
    <row r="15" spans="1:43" hidden="1" x14ac:dyDescent="0.25">
      <c r="A15" s="15" t="s">
        <v>146</v>
      </c>
      <c r="B15" s="16" t="e">
        <f>VLOOKUP(Sheet1!D15,Sheet2!A12,1,FALSE)</f>
        <v>#N/A</v>
      </c>
      <c r="C15" s="15" t="s">
        <v>20</v>
      </c>
      <c r="D15" s="15" t="s">
        <v>149</v>
      </c>
      <c r="E15" s="16" t="s">
        <v>156</v>
      </c>
      <c r="F15" s="13">
        <v>-5.8936329999999997E-3</v>
      </c>
      <c r="G15" s="13">
        <v>-2.2483749999999999E-3</v>
      </c>
      <c r="H15" s="13">
        <v>5.8058980000000003E-3</v>
      </c>
      <c r="I15" s="13">
        <v>1.6038177000000001E-2</v>
      </c>
      <c r="J15" s="13">
        <v>2.2383987000000001E-2</v>
      </c>
      <c r="K15" s="13">
        <v>2.6470666E-2</v>
      </c>
      <c r="L15" s="13">
        <v>2.9268381E-2</v>
      </c>
      <c r="M15" s="13">
        <v>-2.6616402000000001E-2</v>
      </c>
      <c r="N15" s="13">
        <v>-2.1688638999999999E-2</v>
      </c>
      <c r="O15" s="13">
        <v>-1.4671471E-2</v>
      </c>
      <c r="P15" s="13">
        <v>-5.5902019999999998E-3</v>
      </c>
      <c r="Q15" s="13">
        <v>6.99828E-4</v>
      </c>
      <c r="R15" s="13">
        <v>5.3866469999999996E-3</v>
      </c>
      <c r="S15" s="13">
        <v>8.9741390000000008E-3</v>
      </c>
      <c r="T15" s="13">
        <v>1.4997599E-2</v>
      </c>
      <c r="U15" s="13">
        <v>1.7627816000000001E-2</v>
      </c>
      <c r="V15" s="13">
        <v>2.6873314999999998E-2</v>
      </c>
      <c r="W15" s="13">
        <v>3.8181319999999998E-2</v>
      </c>
      <c r="X15" s="13">
        <v>4.4600989000000001E-2</v>
      </c>
      <c r="Y15" s="13">
        <v>4.8129397999999997E-2</v>
      </c>
      <c r="Z15" s="13">
        <v>5.0006651999999999E-2</v>
      </c>
      <c r="AA15" s="13">
        <v>-1.7347352E-2</v>
      </c>
      <c r="AB15" s="13">
        <v>-1.5150241E-2</v>
      </c>
      <c r="AC15" s="13">
        <v>-1.0924946E-2</v>
      </c>
      <c r="AD15" s="13">
        <v>-2.622592E-3</v>
      </c>
      <c r="AE15" s="13">
        <v>3.7349950000000001E-3</v>
      </c>
      <c r="AF15" s="13">
        <v>7.8607520000000004E-3</v>
      </c>
      <c r="AG15" s="13">
        <v>1.0049971E-2</v>
      </c>
      <c r="AH15" s="13">
        <v>5.6935900000000001E-3</v>
      </c>
      <c r="AI15" s="13">
        <v>1.082251E-2</v>
      </c>
      <c r="AJ15" s="13">
        <v>2.2819754000000001E-2</v>
      </c>
      <c r="AK15" s="13">
        <v>3.5048086999999999E-2</v>
      </c>
      <c r="AL15" s="13">
        <v>4.1379476999999998E-2</v>
      </c>
      <c r="AM15" s="13">
        <v>4.5424208000000001E-2</v>
      </c>
      <c r="AN15" s="13">
        <v>4.8852464999999998E-2</v>
      </c>
      <c r="AO15" s="13">
        <v>5.6810475999999999E-2</v>
      </c>
      <c r="AP15" s="14">
        <v>0.776819861</v>
      </c>
      <c r="AQ15" s="14">
        <v>-0.13536767199999999</v>
      </c>
    </row>
    <row r="16" spans="1:43" hidden="1" x14ac:dyDescent="0.25">
      <c r="A16" s="15" t="s">
        <v>146</v>
      </c>
      <c r="B16" s="16" t="e">
        <f>VLOOKUP(Sheet1!D16,Sheet2!A13,1,FALSE)</f>
        <v>#N/A</v>
      </c>
      <c r="C16" s="15" t="s">
        <v>20</v>
      </c>
      <c r="D16" s="15" t="s">
        <v>150</v>
      </c>
      <c r="E16" s="16" t="s">
        <v>157</v>
      </c>
      <c r="F16" s="13">
        <v>4.5833200000000001E-3</v>
      </c>
      <c r="G16" s="13">
        <v>7.8234740000000004E-3</v>
      </c>
      <c r="H16" s="13">
        <v>1.4883777000000001E-2</v>
      </c>
      <c r="I16" s="13">
        <v>2.3671794999999999E-2</v>
      </c>
      <c r="J16" s="13">
        <v>2.9016258E-2</v>
      </c>
      <c r="K16" s="13">
        <v>3.2418397000000002E-2</v>
      </c>
      <c r="L16" s="13">
        <v>3.4733426999999997E-2</v>
      </c>
      <c r="M16" s="13">
        <v>-1.0862391000000001E-2</v>
      </c>
      <c r="N16" s="13">
        <v>-7.0982340000000001E-3</v>
      </c>
      <c r="O16" s="13">
        <v>-1.550046E-3</v>
      </c>
      <c r="P16" s="13">
        <v>5.919578E-3</v>
      </c>
      <c r="Q16" s="13">
        <v>1.1305983E-2</v>
      </c>
      <c r="R16" s="13">
        <v>1.5110960999999999E-2</v>
      </c>
      <c r="S16" s="13">
        <v>1.8188717E-2</v>
      </c>
      <c r="T16" s="13">
        <v>2.0079666999999999E-2</v>
      </c>
      <c r="U16" s="13">
        <v>2.3021874000000001E-2</v>
      </c>
      <c r="V16" s="13">
        <v>3.1573909999999997E-2</v>
      </c>
      <c r="W16" s="13">
        <v>4.1666100999999997E-2</v>
      </c>
      <c r="X16" s="13">
        <v>4.7167115000000003E-2</v>
      </c>
      <c r="Y16" s="13">
        <v>5.0002374000000002E-2</v>
      </c>
      <c r="Z16" s="13">
        <v>5.1604121000000003E-2</v>
      </c>
      <c r="AA16" s="13">
        <v>-6.3991669999999999E-3</v>
      </c>
      <c r="AB16" s="13">
        <v>-4.2550799999999996E-3</v>
      </c>
      <c r="AC16" s="13">
        <v>1.11167E-4</v>
      </c>
      <c r="AD16" s="13">
        <v>5.870274E-3</v>
      </c>
      <c r="AE16" s="13">
        <v>1.2570026E-2</v>
      </c>
      <c r="AF16" s="13">
        <v>1.6110391000000002E-2</v>
      </c>
      <c r="AG16" s="13">
        <v>1.8710467000000001E-2</v>
      </c>
      <c r="AH16" s="13">
        <v>1.5687199999999998E-2</v>
      </c>
      <c r="AI16" s="13">
        <v>2.0048545000000001E-2</v>
      </c>
      <c r="AJ16" s="13">
        <v>2.9874596999999999E-2</v>
      </c>
      <c r="AK16" s="13">
        <v>4.1788359999999997E-2</v>
      </c>
      <c r="AL16" s="13">
        <v>4.5729615000000001E-2</v>
      </c>
      <c r="AM16" s="13">
        <v>4.8988138000000001E-2</v>
      </c>
      <c r="AN16" s="13">
        <v>5.1008407999999998E-2</v>
      </c>
      <c r="AO16" s="13">
        <v>3.4159601999999997E-2</v>
      </c>
      <c r="AP16" s="14">
        <v>0.48966100400000001</v>
      </c>
      <c r="AQ16" s="14">
        <v>9.7212581000000006E-2</v>
      </c>
    </row>
    <row r="17" spans="1:43" hidden="1" x14ac:dyDescent="0.25">
      <c r="A17" s="15" t="s">
        <v>146</v>
      </c>
      <c r="B17" s="16" t="e">
        <f>VLOOKUP(Sheet1!D17,Sheet2!A14,1,FALSE)</f>
        <v>#N/A</v>
      </c>
      <c r="C17" s="15" t="s">
        <v>20</v>
      </c>
      <c r="D17" s="15" t="s">
        <v>151</v>
      </c>
      <c r="E17" s="16" t="s">
        <v>158</v>
      </c>
      <c r="F17" s="13">
        <v>1.0617301000000001E-2</v>
      </c>
      <c r="G17" s="13">
        <v>1.3321138999999999E-2</v>
      </c>
      <c r="H17" s="13">
        <v>1.9074196000000002E-2</v>
      </c>
      <c r="I17" s="13">
        <v>2.5978843000000001E-2</v>
      </c>
      <c r="J17" s="13">
        <v>3.0026566000000001E-2</v>
      </c>
      <c r="K17" s="13">
        <v>3.2545721999999999E-2</v>
      </c>
      <c r="L17" s="13">
        <v>3.4239553999999998E-2</v>
      </c>
      <c r="M17" s="13">
        <v>-1.9480246E-2</v>
      </c>
      <c r="N17" s="13">
        <v>-1.6314664999999999E-2</v>
      </c>
      <c r="O17" s="13">
        <v>-1.4483927000000001E-2</v>
      </c>
      <c r="P17" s="13">
        <v>-1.1192751000000001E-2</v>
      </c>
      <c r="Q17" s="13">
        <v>-7.6794460000000004E-3</v>
      </c>
      <c r="R17" s="13">
        <v>-4.2891589999999999E-3</v>
      </c>
      <c r="S17" s="13">
        <v>-1.1599889999999999E-3</v>
      </c>
      <c r="T17" s="13">
        <v>4.1606263999999997E-2</v>
      </c>
      <c r="U17" s="13">
        <v>4.420437E-2</v>
      </c>
      <c r="V17" s="13">
        <v>5.3864571999999999E-2</v>
      </c>
      <c r="W17" s="13">
        <v>6.4302065000000005E-2</v>
      </c>
      <c r="X17" s="13">
        <v>6.9097025000000006E-2</v>
      </c>
      <c r="Y17" s="13">
        <v>7.0626980000000006E-2</v>
      </c>
      <c r="Z17" s="13">
        <v>7.0936592000000007E-2</v>
      </c>
      <c r="AA17" s="13">
        <v>-1.1824398999999999E-2</v>
      </c>
      <c r="AB17" s="13">
        <v>-1.0202339E-2</v>
      </c>
      <c r="AC17" s="13">
        <v>-1.0952318000000001E-2</v>
      </c>
      <c r="AD17" s="13">
        <v>-8.5381410000000008E-3</v>
      </c>
      <c r="AE17" s="13">
        <v>-6.280552E-3</v>
      </c>
      <c r="AF17" s="13">
        <v>-1.8527249999999999E-3</v>
      </c>
      <c r="AG17" s="13">
        <v>4.3113100000000002E-4</v>
      </c>
      <c r="AH17" s="13">
        <v>3.3568658000000001E-2</v>
      </c>
      <c r="AI17" s="13">
        <v>3.7403673999999998E-2</v>
      </c>
      <c r="AJ17" s="13">
        <v>5.0012288000000002E-2</v>
      </c>
      <c r="AK17" s="13">
        <v>6.1697509999999997E-2</v>
      </c>
      <c r="AL17" s="13">
        <v>6.7660232000000001E-2</v>
      </c>
      <c r="AM17" s="13">
        <v>6.8129630999999996E-2</v>
      </c>
      <c r="AN17" s="13">
        <v>6.9190496000000004E-2</v>
      </c>
      <c r="AO17" s="13">
        <v>6.8838531999999994E-2</v>
      </c>
      <c r="AP17" s="14">
        <v>0.450307442</v>
      </c>
      <c r="AQ17" s="14">
        <v>-7.876872E-3</v>
      </c>
    </row>
    <row r="18" spans="1:43" hidden="1" x14ac:dyDescent="0.25">
      <c r="A18" s="15" t="s">
        <v>146</v>
      </c>
      <c r="B18" s="16" t="e">
        <f>VLOOKUP(Sheet1!D18,Sheet2!A15,1,FALSE)</f>
        <v>#N/A</v>
      </c>
      <c r="C18" s="15" t="s">
        <v>20</v>
      </c>
      <c r="D18" s="15" t="s">
        <v>152</v>
      </c>
      <c r="E18" s="16" t="s">
        <v>159</v>
      </c>
      <c r="F18" s="13">
        <v>-1.8092950999999999E-2</v>
      </c>
      <c r="G18" s="13">
        <v>-1.3737665E-2</v>
      </c>
      <c r="H18" s="13">
        <v>-3.942531E-3</v>
      </c>
      <c r="I18" s="13">
        <v>8.8200799999999992E-3</v>
      </c>
      <c r="J18" s="13">
        <v>1.6922142000000001E-2</v>
      </c>
      <c r="K18" s="13">
        <v>2.2210829000000001E-2</v>
      </c>
      <c r="L18" s="13">
        <v>2.5856997999999999E-2</v>
      </c>
      <c r="M18" s="13">
        <v>-5.5455681999999999E-2</v>
      </c>
      <c r="N18" s="13">
        <v>-4.8805255999999998E-2</v>
      </c>
      <c r="O18" s="13">
        <v>-4.0626625E-2</v>
      </c>
      <c r="P18" s="13">
        <v>-2.9676276000000001E-2</v>
      </c>
      <c r="Q18" s="13">
        <v>-2.1574531000000001E-2</v>
      </c>
      <c r="R18" s="13">
        <v>-1.4980602000000001E-2</v>
      </c>
      <c r="S18" s="13">
        <v>-1.0080201E-2</v>
      </c>
      <c r="T18" s="13">
        <v>2.1224929999999999E-2</v>
      </c>
      <c r="U18" s="13">
        <v>2.2516280999999999E-2</v>
      </c>
      <c r="V18" s="13">
        <v>3.4148484999999999E-2</v>
      </c>
      <c r="W18" s="13">
        <v>4.9088084999999997E-2</v>
      </c>
      <c r="X18" s="13">
        <v>5.6568197000000001E-2</v>
      </c>
      <c r="Y18" s="13">
        <v>6.0683226999999999E-2</v>
      </c>
      <c r="Z18" s="13">
        <v>6.3176767999999994E-2</v>
      </c>
      <c r="AA18" s="13">
        <v>-3.9777926999999998E-2</v>
      </c>
      <c r="AB18" s="13">
        <v>-3.8546672999999997E-2</v>
      </c>
      <c r="AC18" s="13">
        <v>-3.4682566999999997E-2</v>
      </c>
      <c r="AD18" s="13">
        <v>-2.5421593999999999E-2</v>
      </c>
      <c r="AE18" s="13">
        <v>-1.7855919000000001E-2</v>
      </c>
      <c r="AF18" s="13">
        <v>-1.0782863E-2</v>
      </c>
      <c r="AG18" s="13">
        <v>-8.5647910000000004E-3</v>
      </c>
      <c r="AH18" s="13">
        <v>4.081744E-3</v>
      </c>
      <c r="AI18" s="13">
        <v>1.1711508000000001E-2</v>
      </c>
      <c r="AJ18" s="13">
        <v>2.7776406E-2</v>
      </c>
      <c r="AK18" s="13">
        <v>4.4264830999999998E-2</v>
      </c>
      <c r="AL18" s="13">
        <v>5.2931709E-2</v>
      </c>
      <c r="AM18" s="13">
        <v>5.6304980999999997E-2</v>
      </c>
      <c r="AN18" s="13">
        <v>6.1473887999999997E-2</v>
      </c>
      <c r="AO18" s="13">
        <v>0.10360900000000001</v>
      </c>
      <c r="AP18" s="14">
        <v>0.81032744800000001</v>
      </c>
      <c r="AQ18" s="14">
        <v>-0.14345266600000001</v>
      </c>
    </row>
    <row r="19" spans="1:43" hidden="1" x14ac:dyDescent="0.25">
      <c r="A19" s="15" t="s">
        <v>146</v>
      </c>
      <c r="B19" s="16" t="e">
        <f>VLOOKUP(Sheet1!D19,Sheet2!A16,1,FALSE)</f>
        <v>#N/A</v>
      </c>
      <c r="C19" s="15" t="s">
        <v>20</v>
      </c>
      <c r="D19" s="15" t="s">
        <v>116</v>
      </c>
      <c r="E19" s="16" t="s">
        <v>173</v>
      </c>
      <c r="F19" s="13">
        <v>-3.7879179999999999E-3</v>
      </c>
      <c r="G19" s="13">
        <v>-2.8472099999999999E-4</v>
      </c>
      <c r="H19" s="13">
        <v>7.4220919999999999E-3</v>
      </c>
      <c r="I19" s="13">
        <v>1.7151186999999998E-2</v>
      </c>
      <c r="J19" s="13">
        <v>2.3148913E-2</v>
      </c>
      <c r="K19" s="13">
        <v>2.6997863E-2</v>
      </c>
      <c r="L19" s="13">
        <v>2.9628007000000001E-2</v>
      </c>
      <c r="M19" s="13">
        <v>-1.6143551999999999E-2</v>
      </c>
      <c r="N19" s="13">
        <v>-1.1137685E-2</v>
      </c>
      <c r="O19" s="13">
        <v>-2.4643220000000001E-3</v>
      </c>
      <c r="P19" s="13">
        <v>8.2317329999999998E-3</v>
      </c>
      <c r="Q19" s="13">
        <v>1.5035622E-2</v>
      </c>
      <c r="R19" s="13">
        <v>1.9425788999999999E-2</v>
      </c>
      <c r="S19" s="13">
        <v>2.2468809999999999E-2</v>
      </c>
      <c r="T19" s="13">
        <v>8.6933860000000009E-3</v>
      </c>
      <c r="U19" s="13">
        <v>1.0731067E-2</v>
      </c>
      <c r="V19" s="13">
        <v>1.7427710999999999E-2</v>
      </c>
      <c r="W19" s="13">
        <v>2.6219441E-2</v>
      </c>
      <c r="X19" s="13">
        <v>3.1497798E-2</v>
      </c>
      <c r="Y19" s="13">
        <v>3.4798038000000003E-2</v>
      </c>
      <c r="Z19" s="13">
        <v>3.6858847E-2</v>
      </c>
      <c r="AA19" s="13">
        <v>-8.2853579999999996E-3</v>
      </c>
      <c r="AB19" s="13">
        <v>-4.865996E-3</v>
      </c>
      <c r="AC19" s="13">
        <v>1.9663269999999999E-3</v>
      </c>
      <c r="AD19" s="13">
        <v>1.1550281000000001E-2</v>
      </c>
      <c r="AE19" s="13">
        <v>1.7627738E-2</v>
      </c>
      <c r="AF19" s="13">
        <v>2.1482128999999999E-2</v>
      </c>
      <c r="AG19" s="13">
        <v>2.4432586999999999E-2</v>
      </c>
      <c r="AH19" s="13">
        <v>7.2991899999999999E-4</v>
      </c>
      <c r="AI19" s="13">
        <v>4.3176450000000002E-3</v>
      </c>
      <c r="AJ19" s="13">
        <v>1.2907564E-2</v>
      </c>
      <c r="AK19" s="13">
        <v>2.2783106000000001E-2</v>
      </c>
      <c r="AL19" s="13">
        <v>2.8700041999999999E-2</v>
      </c>
      <c r="AM19" s="13">
        <v>3.2543381000000003E-2</v>
      </c>
      <c r="AN19" s="13">
        <v>3.4849775E-2</v>
      </c>
      <c r="AO19" s="13">
        <v>3.8451862000000003E-2</v>
      </c>
      <c r="AP19" s="14">
        <v>1</v>
      </c>
      <c r="AQ19" s="14">
        <v>-0.243846286</v>
      </c>
    </row>
    <row r="20" spans="1:43" hidden="1" x14ac:dyDescent="0.25">
      <c r="A20" s="15" t="s">
        <v>146</v>
      </c>
      <c r="B20" s="16" t="e">
        <f>VLOOKUP(Sheet1!D20,Sheet2!A17,1,FALSE)</f>
        <v>#N/A</v>
      </c>
      <c r="C20" s="15" t="s">
        <v>20</v>
      </c>
      <c r="D20" s="15" t="s">
        <v>118</v>
      </c>
      <c r="E20" s="16" t="s">
        <v>126</v>
      </c>
      <c r="F20" s="13">
        <v>-2.8827100000000001E-3</v>
      </c>
      <c r="G20" s="13">
        <v>1.337424E-3</v>
      </c>
      <c r="H20" s="13">
        <v>1.0789946E-2</v>
      </c>
      <c r="I20" s="13">
        <v>2.3035436999999999E-2</v>
      </c>
      <c r="J20" s="13">
        <v>3.076858E-2</v>
      </c>
      <c r="K20" s="13">
        <v>3.580129E-2</v>
      </c>
      <c r="L20" s="13">
        <v>3.9265542E-2</v>
      </c>
      <c r="M20" s="13">
        <v>-2.1133769E-2</v>
      </c>
      <c r="N20" s="13">
        <v>-1.4700156000000001E-2</v>
      </c>
      <c r="O20" s="13">
        <v>-4.1733100000000004E-3</v>
      </c>
      <c r="P20" s="13">
        <v>8.9915680000000001E-3</v>
      </c>
      <c r="Q20" s="13">
        <v>1.7504242999999999E-2</v>
      </c>
      <c r="R20" s="13">
        <v>2.3077495E-2</v>
      </c>
      <c r="S20" s="13">
        <v>2.7313207999999999E-2</v>
      </c>
      <c r="T20" s="13">
        <v>1.5707313000000001E-2</v>
      </c>
      <c r="U20" s="13">
        <v>1.7685796E-2</v>
      </c>
      <c r="V20" s="13">
        <v>2.6094414999999999E-2</v>
      </c>
      <c r="W20" s="13">
        <v>3.7222972E-2</v>
      </c>
      <c r="X20" s="13">
        <v>4.4343555E-2</v>
      </c>
      <c r="Y20" s="13">
        <v>4.8655816999999997E-2</v>
      </c>
      <c r="Z20" s="13">
        <v>5.1358470000000003E-2</v>
      </c>
      <c r="AA20" s="13">
        <v>-1.0030745000000001E-2</v>
      </c>
      <c r="AB20" s="13">
        <v>-6.2266049999999996E-3</v>
      </c>
      <c r="AC20" s="13">
        <v>1.878862E-3</v>
      </c>
      <c r="AD20" s="13">
        <v>1.2597957999999999E-2</v>
      </c>
      <c r="AE20" s="13">
        <v>2.0066055999999999E-2</v>
      </c>
      <c r="AF20" s="13">
        <v>2.5572909000000001E-2</v>
      </c>
      <c r="AG20" s="13">
        <v>2.9491610000000001E-2</v>
      </c>
      <c r="AH20" s="13">
        <v>4.3169380000000002E-3</v>
      </c>
      <c r="AI20" s="13">
        <v>8.9590260000000001E-3</v>
      </c>
      <c r="AJ20" s="13">
        <v>1.9780288E-2</v>
      </c>
      <c r="AK20" s="13">
        <v>3.3580501999999998E-2</v>
      </c>
      <c r="AL20" s="13">
        <v>4.1583398000000001E-2</v>
      </c>
      <c r="AM20" s="13">
        <v>4.6131683E-2</v>
      </c>
      <c r="AN20" s="13">
        <v>4.9132267E-2</v>
      </c>
      <c r="AO20" s="13">
        <v>5.6382882000000002E-2</v>
      </c>
      <c r="AP20" s="14">
        <v>0.65161280700000002</v>
      </c>
      <c r="AQ20" s="14">
        <v>-3.4706742999999998E-2</v>
      </c>
    </row>
    <row r="21" spans="1:43" hidden="1" x14ac:dyDescent="0.25">
      <c r="A21" s="15" t="s">
        <v>146</v>
      </c>
      <c r="B21" s="16" t="e">
        <f>VLOOKUP(Sheet1!D21,Sheet2!A18,1,FALSE)</f>
        <v>#N/A</v>
      </c>
      <c r="C21" s="15" t="s">
        <v>20</v>
      </c>
      <c r="D21" s="15" t="s">
        <v>61</v>
      </c>
      <c r="E21" s="16" t="s">
        <v>75</v>
      </c>
      <c r="F21" s="13">
        <v>-1.9575170000000002E-3</v>
      </c>
      <c r="G21" s="13">
        <v>1.6160129999999999E-3</v>
      </c>
      <c r="H21" s="13">
        <v>9.4924680000000004E-3</v>
      </c>
      <c r="I21" s="13">
        <v>1.9463256000000002E-2</v>
      </c>
      <c r="J21" s="13">
        <v>2.5626131E-2</v>
      </c>
      <c r="K21" s="13">
        <v>2.9587176999999999E-2</v>
      </c>
      <c r="L21" s="13">
        <v>3.2296100000000001E-2</v>
      </c>
      <c r="M21" s="13">
        <v>-1.3127616E-2</v>
      </c>
      <c r="N21" s="13">
        <v>-7.9011069999999992E-3</v>
      </c>
      <c r="O21" s="13">
        <v>4.70431E-4</v>
      </c>
      <c r="P21" s="13">
        <v>1.1322448000000001E-2</v>
      </c>
      <c r="Q21" s="13">
        <v>1.8077830999999999E-2</v>
      </c>
      <c r="R21" s="13">
        <v>2.2635298000000002E-2</v>
      </c>
      <c r="S21" s="13">
        <v>2.5698143999999999E-2</v>
      </c>
      <c r="T21" s="13">
        <v>9.3252209999999999E-3</v>
      </c>
      <c r="U21" s="13">
        <v>1.1407288999999999E-2</v>
      </c>
      <c r="V21" s="13">
        <v>1.8467463E-2</v>
      </c>
      <c r="W21" s="13">
        <v>2.7647716999999999E-2</v>
      </c>
      <c r="X21" s="13">
        <v>3.3256766E-2</v>
      </c>
      <c r="Y21" s="13">
        <v>3.6727454999999999E-2</v>
      </c>
      <c r="Z21" s="13">
        <v>3.8928246E-2</v>
      </c>
      <c r="AA21" s="13">
        <v>-5.5751769999999997E-3</v>
      </c>
      <c r="AB21" s="13">
        <v>-2.1779149999999999E-3</v>
      </c>
      <c r="AC21" s="13">
        <v>4.8909740000000002E-3</v>
      </c>
      <c r="AD21" s="13">
        <v>1.4296221E-2</v>
      </c>
      <c r="AE21" s="13">
        <v>2.0584715E-2</v>
      </c>
      <c r="AF21" s="13">
        <v>2.4485224999999999E-2</v>
      </c>
      <c r="AG21" s="13">
        <v>2.7215402E-2</v>
      </c>
      <c r="AH21" s="13">
        <v>1.6733029999999999E-3</v>
      </c>
      <c r="AI21" s="13">
        <v>5.4243670000000003E-3</v>
      </c>
      <c r="AJ21" s="13">
        <v>1.4115034E-2</v>
      </c>
      <c r="AK21" s="13">
        <v>2.4656613000000001E-2</v>
      </c>
      <c r="AL21" s="13">
        <v>3.069245E-2</v>
      </c>
      <c r="AM21" s="13">
        <v>3.4714538000000003E-2</v>
      </c>
      <c r="AN21" s="13">
        <v>3.7401928000000001E-2</v>
      </c>
      <c r="AO21" s="13">
        <v>3.4745738999999998E-2</v>
      </c>
      <c r="AP21" s="14">
        <v>0.95015241699999997</v>
      </c>
      <c r="AQ21" s="14">
        <v>-0.18639914299999999</v>
      </c>
    </row>
    <row r="22" spans="1:43" hidden="1" x14ac:dyDescent="0.25">
      <c r="A22" s="15" t="s">
        <v>146</v>
      </c>
      <c r="B22" s="16" t="e">
        <f>VLOOKUP(Sheet1!D22,Sheet2!A19,1,FALSE)</f>
        <v>#N/A</v>
      </c>
      <c r="C22" s="15" t="s">
        <v>20</v>
      </c>
      <c r="D22" s="15" t="s">
        <v>153</v>
      </c>
      <c r="E22" s="16" t="s">
        <v>160</v>
      </c>
      <c r="F22" s="13">
        <v>5.1406960000000002E-3</v>
      </c>
      <c r="G22" s="13">
        <v>7.94569E-3</v>
      </c>
      <c r="H22" s="13">
        <v>1.3948594999999999E-2</v>
      </c>
      <c r="I22" s="13">
        <v>2.1218463999999999E-2</v>
      </c>
      <c r="J22" s="13">
        <v>2.5520257000000001E-2</v>
      </c>
      <c r="K22" s="13">
        <v>2.8213248E-2</v>
      </c>
      <c r="L22" s="13">
        <v>3.0029630000000002E-2</v>
      </c>
      <c r="M22" s="13">
        <v>5.0548770000000002E-3</v>
      </c>
      <c r="N22" s="13">
        <v>7.0851330000000004E-3</v>
      </c>
      <c r="O22" s="13">
        <v>1.2290689E-2</v>
      </c>
      <c r="P22" s="13">
        <v>1.9155810999999998E-2</v>
      </c>
      <c r="Q22" s="13">
        <v>2.3369020000000001E-2</v>
      </c>
      <c r="R22" s="13">
        <v>2.6134536999999999E-2</v>
      </c>
      <c r="S22" s="13">
        <v>2.802866E-2</v>
      </c>
      <c r="T22" s="13">
        <v>5.2265219999999999E-3</v>
      </c>
      <c r="U22" s="13">
        <v>8.8069819999999997E-3</v>
      </c>
      <c r="V22" s="13">
        <v>1.5609216E-2</v>
      </c>
      <c r="W22" s="13">
        <v>2.3285291999999999E-2</v>
      </c>
      <c r="X22" s="13">
        <v>2.7676016000000001E-2</v>
      </c>
      <c r="Y22" s="13">
        <v>3.0296170000000001E-2</v>
      </c>
      <c r="Z22" s="13">
        <v>3.2034493999999997E-2</v>
      </c>
      <c r="AA22" s="13">
        <v>5.0555560000000001E-3</v>
      </c>
      <c r="AB22" s="13">
        <v>7.0938370000000004E-3</v>
      </c>
      <c r="AC22" s="13">
        <v>1.2167363E-2</v>
      </c>
      <c r="AD22" s="13">
        <v>1.9032705E-2</v>
      </c>
      <c r="AE22" s="13">
        <v>2.3326889E-2</v>
      </c>
      <c r="AF22" s="13">
        <v>2.6005423E-2</v>
      </c>
      <c r="AG22" s="13">
        <v>2.7967592999999999E-2</v>
      </c>
      <c r="AH22" s="13">
        <v>5.2258440000000003E-3</v>
      </c>
      <c r="AI22" s="13">
        <v>8.7982640000000001E-3</v>
      </c>
      <c r="AJ22" s="13">
        <v>1.5732961E-2</v>
      </c>
      <c r="AK22" s="13">
        <v>2.3408912E-2</v>
      </c>
      <c r="AL22" s="13">
        <v>2.7718327000000001E-2</v>
      </c>
      <c r="AM22" s="13">
        <v>3.0425824000000001E-2</v>
      </c>
      <c r="AN22" s="13">
        <v>3.2095802999999999E-2</v>
      </c>
      <c r="AO22" s="13">
        <v>0</v>
      </c>
      <c r="AP22" s="14">
        <v>0</v>
      </c>
      <c r="AQ22" s="14">
        <v>0</v>
      </c>
    </row>
    <row r="23" spans="1:43" hidden="1" x14ac:dyDescent="0.25">
      <c r="A23" s="15" t="s">
        <v>146</v>
      </c>
      <c r="B23" s="16" t="e">
        <f>VLOOKUP(Sheet1!D23,Sheet2!A20,1,FALSE)</f>
        <v>#N/A</v>
      </c>
      <c r="C23" s="15" t="s">
        <v>20</v>
      </c>
      <c r="D23" s="15" t="s">
        <v>172</v>
      </c>
      <c r="E23" s="16" t="s">
        <v>166</v>
      </c>
      <c r="F23" s="13">
        <v>2.8933779999999999E-2</v>
      </c>
      <c r="G23" s="13">
        <v>3.0427918000000002E-2</v>
      </c>
      <c r="H23" s="13">
        <v>3.3237787999999997E-2</v>
      </c>
      <c r="I23" s="13">
        <v>3.5918101000000001E-2</v>
      </c>
      <c r="J23" s="13">
        <v>3.7068941000000001E-2</v>
      </c>
      <c r="K23" s="13">
        <v>3.7621256999999998E-2</v>
      </c>
      <c r="L23" s="13">
        <v>3.7934282999999999E-2</v>
      </c>
      <c r="M23" s="13">
        <v>-1.4721155E-2</v>
      </c>
      <c r="N23" s="13">
        <v>-8.4629379999999997E-3</v>
      </c>
      <c r="O23" s="13">
        <v>-2.6432220000000002E-3</v>
      </c>
      <c r="P23" s="13">
        <v>2.5097969999999998E-3</v>
      </c>
      <c r="Q23" s="13">
        <v>5.9003859999999997E-3</v>
      </c>
      <c r="R23" s="13">
        <v>8.3579510000000006E-3</v>
      </c>
      <c r="S23" s="13">
        <v>9.8866219999999994E-3</v>
      </c>
      <c r="T23" s="13">
        <v>7.4149773000000002E-2</v>
      </c>
      <c r="U23" s="13">
        <v>7.1195794000000007E-2</v>
      </c>
      <c r="V23" s="13">
        <v>7.0412276999999995E-2</v>
      </c>
      <c r="W23" s="13">
        <v>7.0346263000000006E-2</v>
      </c>
      <c r="X23" s="13">
        <v>6.9099164000000005E-2</v>
      </c>
      <c r="Y23" s="13">
        <v>6.7915807999999994E-2</v>
      </c>
      <c r="Z23" s="13">
        <v>6.6412803000000006E-2</v>
      </c>
      <c r="AA23" s="13">
        <v>9.3948980000000005E-3</v>
      </c>
      <c r="AB23" s="13">
        <v>1.1127722E-2</v>
      </c>
      <c r="AC23" s="13">
        <v>1.0232605000000001E-2</v>
      </c>
      <c r="AD23" s="13">
        <v>1.1677959E-2</v>
      </c>
      <c r="AE23" s="13">
        <v>1.3311857E-2</v>
      </c>
      <c r="AF23" s="13">
        <v>1.4951057E-2</v>
      </c>
      <c r="AG23" s="13">
        <v>1.6032257000000001E-2</v>
      </c>
      <c r="AH23" s="13">
        <v>4.8850878E-2</v>
      </c>
      <c r="AI23" s="13">
        <v>5.0096513000000002E-2</v>
      </c>
      <c r="AJ23" s="13">
        <v>5.6766865999999999E-2</v>
      </c>
      <c r="AK23" s="13">
        <v>6.0739043999999999E-2</v>
      </c>
      <c r="AL23" s="13">
        <v>6.1383009000000002E-2</v>
      </c>
      <c r="AM23" s="13">
        <v>6.0797833000000003E-2</v>
      </c>
      <c r="AN23" s="13">
        <v>6.0308438999999998E-2</v>
      </c>
      <c r="AO23" s="13">
        <v>0.127586057</v>
      </c>
      <c r="AP23" s="14">
        <v>0.111399069</v>
      </c>
      <c r="AQ23" s="14">
        <v>0.219994984</v>
      </c>
    </row>
    <row r="24" spans="1:43" hidden="1" x14ac:dyDescent="0.25">
      <c r="A24" s="15" t="s">
        <v>146</v>
      </c>
      <c r="B24" s="16" t="e">
        <f>VLOOKUP(Sheet1!D24,Sheet2!A21,1,FALSE)</f>
        <v>#N/A</v>
      </c>
      <c r="C24" s="15" t="s">
        <v>23</v>
      </c>
      <c r="D24" s="15" t="s">
        <v>64</v>
      </c>
      <c r="E24" s="16" t="s">
        <v>45</v>
      </c>
      <c r="F24" s="13">
        <v>0.12767890300000001</v>
      </c>
      <c r="G24" s="13">
        <v>0.13001020999999999</v>
      </c>
      <c r="H24" s="13">
        <v>0.134811656</v>
      </c>
      <c r="I24" s="13">
        <v>0.14027505400000001</v>
      </c>
      <c r="J24" s="13">
        <v>0.14329549499999999</v>
      </c>
      <c r="K24" s="13">
        <v>0.14510387699999999</v>
      </c>
      <c r="L24" s="13">
        <v>0.14629419299999999</v>
      </c>
      <c r="M24" s="13">
        <v>-2.6853285000000001E-2</v>
      </c>
      <c r="N24" s="13">
        <v>-1.3122516000000001E-2</v>
      </c>
      <c r="O24" s="13">
        <v>1.3401450000000001E-3</v>
      </c>
      <c r="P24" s="13">
        <v>1.6893159000000001E-2</v>
      </c>
      <c r="Q24" s="13">
        <v>2.7839658E-2</v>
      </c>
      <c r="R24" s="13">
        <v>3.8340177000000003E-2</v>
      </c>
      <c r="S24" s="13">
        <v>4.5069327999999999E-2</v>
      </c>
      <c r="T24" s="13">
        <v>0.30654068400000001</v>
      </c>
      <c r="U24" s="13">
        <v>0.29427767999999999</v>
      </c>
      <c r="V24" s="13">
        <v>0.288766256</v>
      </c>
      <c r="W24" s="13">
        <v>0.28000817300000003</v>
      </c>
      <c r="X24" s="13">
        <v>0.27341556500000003</v>
      </c>
      <c r="Y24" s="13">
        <v>0.26538297900000002</v>
      </c>
      <c r="Z24" s="13">
        <v>0.25810701699999999</v>
      </c>
      <c r="AA24" s="13">
        <v>-1.0877800999999999E-2</v>
      </c>
      <c r="AB24" s="13">
        <v>-3.1640629999999999E-3</v>
      </c>
      <c r="AC24" s="13">
        <v>6.9734439999999996E-3</v>
      </c>
      <c r="AD24" s="13">
        <v>1.9964536000000001E-2</v>
      </c>
      <c r="AE24" s="13">
        <v>3.4075175999999999E-2</v>
      </c>
      <c r="AF24" s="13">
        <v>4.4387343000000003E-2</v>
      </c>
      <c r="AG24" s="13">
        <v>5.0986756000000001E-2</v>
      </c>
      <c r="AH24" s="13">
        <v>0.28680516099999998</v>
      </c>
      <c r="AI24" s="13">
        <v>0.28203114800000001</v>
      </c>
      <c r="AJ24" s="13">
        <v>0.27983140200000001</v>
      </c>
      <c r="AK24" s="13">
        <v>0.27559836199999999</v>
      </c>
      <c r="AL24" s="13">
        <v>0.26470981399999999</v>
      </c>
      <c r="AM24" s="13">
        <v>0.25608139800000002</v>
      </c>
      <c r="AN24" s="13">
        <v>0.25072909399999999</v>
      </c>
      <c r="AO24" s="13">
        <v>0.26047672799999999</v>
      </c>
      <c r="AP24" s="14">
        <v>-0.26910160700000002</v>
      </c>
      <c r="AQ24" s="14">
        <v>0.74066650199999995</v>
      </c>
    </row>
    <row r="25" spans="1:43" hidden="1" x14ac:dyDescent="0.25">
      <c r="A25" s="15" t="s">
        <v>146</v>
      </c>
      <c r="B25" s="16" t="e">
        <f>VLOOKUP(Sheet1!D25,Sheet2!A22,1,FALSE)</f>
        <v>#N/A</v>
      </c>
      <c r="C25" s="15" t="s">
        <v>23</v>
      </c>
      <c r="D25" s="15" t="s">
        <v>65</v>
      </c>
      <c r="E25" s="16" t="s">
        <v>45</v>
      </c>
      <c r="F25" s="13">
        <v>3.4200012000000002E-2</v>
      </c>
      <c r="G25" s="13">
        <v>3.7472565999999999E-2</v>
      </c>
      <c r="H25" s="13">
        <v>4.4595133000000002E-2</v>
      </c>
      <c r="I25" s="13">
        <v>5.3445194000000001E-2</v>
      </c>
      <c r="J25" s="13">
        <v>5.8818228E-2</v>
      </c>
      <c r="K25" s="13">
        <v>6.2235061000000001E-2</v>
      </c>
      <c r="L25" s="13">
        <v>6.4558844000000004E-2</v>
      </c>
      <c r="M25" s="13">
        <v>-4.7999999999999996E-3</v>
      </c>
      <c r="N25" s="13">
        <v>2.1296259999999999E-3</v>
      </c>
      <c r="O25" s="13">
        <v>1.2136134999999999E-2</v>
      </c>
      <c r="P25" s="13">
        <v>2.4115484999999999E-2</v>
      </c>
      <c r="Q25" s="13">
        <v>3.1785971000000003E-2</v>
      </c>
      <c r="R25" s="13">
        <v>3.7298825000000001E-2</v>
      </c>
      <c r="S25" s="13">
        <v>4.1307275999999997E-2</v>
      </c>
      <c r="T25" s="13">
        <v>7.4890820999999996E-2</v>
      </c>
      <c r="U25" s="13">
        <v>7.4062454E-2</v>
      </c>
      <c r="V25" s="13">
        <v>7.8696683000000003E-2</v>
      </c>
      <c r="W25" s="13">
        <v>8.3487989999999998E-2</v>
      </c>
      <c r="X25" s="13">
        <v>8.6566441999999993E-2</v>
      </c>
      <c r="Y25" s="13">
        <v>8.7608038999999999E-2</v>
      </c>
      <c r="Z25" s="13">
        <v>8.8239489000000004E-2</v>
      </c>
      <c r="AA25" s="13">
        <v>5.2688789999999998E-3</v>
      </c>
      <c r="AB25" s="13">
        <v>1.069928E-2</v>
      </c>
      <c r="AC25" s="13">
        <v>1.9646072000000001E-2</v>
      </c>
      <c r="AD25" s="13">
        <v>2.9153808999999999E-2</v>
      </c>
      <c r="AE25" s="13">
        <v>3.7409075999999999E-2</v>
      </c>
      <c r="AF25" s="13">
        <v>4.1727031999999997E-2</v>
      </c>
      <c r="AG25" s="13">
        <v>4.4952519000000003E-2</v>
      </c>
      <c r="AH25" s="13">
        <v>6.3971544000000005E-2</v>
      </c>
      <c r="AI25" s="13">
        <v>6.4961660000000004E-2</v>
      </c>
      <c r="AJ25" s="13">
        <v>7.0160276999999993E-2</v>
      </c>
      <c r="AK25" s="13">
        <v>7.8315164000000007E-2</v>
      </c>
      <c r="AL25" s="13">
        <v>8.0673201E-2</v>
      </c>
      <c r="AM25" s="13">
        <v>8.3150458999999996E-2</v>
      </c>
      <c r="AN25" s="13">
        <v>8.4536397999999999E-2</v>
      </c>
      <c r="AO25" s="13">
        <v>9.8428643999999996E-2</v>
      </c>
      <c r="AP25" s="14">
        <v>0.111485185</v>
      </c>
      <c r="AQ25" s="14">
        <v>0.61180933599999998</v>
      </c>
    </row>
    <row r="26" spans="1:43" hidden="1" x14ac:dyDescent="0.25">
      <c r="A26" s="15" t="s">
        <v>146</v>
      </c>
      <c r="B26" s="16" t="e">
        <f>VLOOKUP(Sheet1!D26,Sheet2!A23,1,FALSE)</f>
        <v>#N/A</v>
      </c>
      <c r="C26" s="15" t="s">
        <v>23</v>
      </c>
      <c r="D26" s="15" t="s">
        <v>24</v>
      </c>
      <c r="E26" s="16" t="s">
        <v>46</v>
      </c>
      <c r="F26" s="13">
        <v>1.1169282000000001E-2</v>
      </c>
      <c r="G26" s="13">
        <v>1.5345592999999999E-2</v>
      </c>
      <c r="H26" s="13">
        <v>2.4683633E-2</v>
      </c>
      <c r="I26" s="13">
        <v>3.6750904000000001E-2</v>
      </c>
      <c r="J26" s="13">
        <v>4.4354247999999999E-2</v>
      </c>
      <c r="K26" s="13">
        <v>4.9296030999999997E-2</v>
      </c>
      <c r="L26" s="13">
        <v>5.2695382999999998E-2</v>
      </c>
      <c r="M26" s="13">
        <v>-2.5523295000000001E-2</v>
      </c>
      <c r="N26" s="13">
        <v>-1.7833946E-2</v>
      </c>
      <c r="O26" s="13">
        <v>-5.4850660000000002E-3</v>
      </c>
      <c r="P26" s="13">
        <v>9.5699909999999999E-3</v>
      </c>
      <c r="Q26" s="13">
        <v>1.921701E-2</v>
      </c>
      <c r="R26" s="13">
        <v>2.5585823000000001E-2</v>
      </c>
      <c r="S26" s="13">
        <v>3.0107139000000002E-2</v>
      </c>
      <c r="T26" s="13">
        <v>4.9680493999999999E-2</v>
      </c>
      <c r="U26" s="13">
        <v>4.9326657000000003E-2</v>
      </c>
      <c r="V26" s="13">
        <v>5.5970346999999997E-2</v>
      </c>
      <c r="W26" s="13">
        <v>6.4611363000000005E-2</v>
      </c>
      <c r="X26" s="13">
        <v>7.0284587999999995E-2</v>
      </c>
      <c r="Y26" s="13">
        <v>7.3626477999999995E-2</v>
      </c>
      <c r="Z26" s="13">
        <v>7.5529065000000006E-2</v>
      </c>
      <c r="AA26" s="13">
        <v>-9.5784319999999996E-3</v>
      </c>
      <c r="AB26" s="13">
        <v>-5.3749569999999997E-3</v>
      </c>
      <c r="AC26" s="13">
        <v>4.8089430000000004E-3</v>
      </c>
      <c r="AD26" s="13">
        <v>1.6105487000000002E-2</v>
      </c>
      <c r="AE26" s="13">
        <v>2.4605447999999999E-2</v>
      </c>
      <c r="AF26" s="13">
        <v>3.1022594000000001E-2</v>
      </c>
      <c r="AG26" s="13">
        <v>3.5963389999999998E-2</v>
      </c>
      <c r="AH26" s="13">
        <v>3.2353831999999999E-2</v>
      </c>
      <c r="AI26" s="13">
        <v>3.6499984999999999E-2</v>
      </c>
      <c r="AJ26" s="13">
        <v>4.4953402000000003E-2</v>
      </c>
      <c r="AK26" s="13">
        <v>5.7817871999999999E-2</v>
      </c>
      <c r="AL26" s="13">
        <v>6.4485562999999996E-2</v>
      </c>
      <c r="AM26" s="13">
        <v>6.7894935000000003E-2</v>
      </c>
      <c r="AN26" s="13">
        <v>6.9698927999999993E-2</v>
      </c>
      <c r="AO26" s="13">
        <v>0.10204435100000001</v>
      </c>
      <c r="AP26" s="14">
        <v>0.46150971800000001</v>
      </c>
      <c r="AQ26" s="14">
        <v>0.225644818</v>
      </c>
    </row>
    <row r="27" spans="1:43" hidden="1" x14ac:dyDescent="0.25">
      <c r="A27" s="15" t="s">
        <v>146</v>
      </c>
      <c r="B27" s="16" t="e">
        <f>VLOOKUP(Sheet1!D27,Sheet2!A24,1,FALSE)</f>
        <v>#N/A</v>
      </c>
      <c r="C27" s="15" t="s">
        <v>23</v>
      </c>
      <c r="D27" s="15" t="s">
        <v>25</v>
      </c>
      <c r="E27" s="16" t="s">
        <v>45</v>
      </c>
      <c r="F27" s="13">
        <v>5.1263934999999997E-2</v>
      </c>
      <c r="G27" s="13">
        <v>5.3851402999999999E-2</v>
      </c>
      <c r="H27" s="13">
        <v>5.9299411000000003E-2</v>
      </c>
      <c r="I27" s="13">
        <v>6.5729644000000004E-2</v>
      </c>
      <c r="J27" s="13">
        <v>6.9433126999999997E-2</v>
      </c>
      <c r="K27" s="13">
        <v>7.1712092000000005E-2</v>
      </c>
      <c r="L27" s="13">
        <v>7.3235095E-2</v>
      </c>
      <c r="M27" s="13">
        <v>1.4505687E-2</v>
      </c>
      <c r="N27" s="13">
        <v>2.1198633000000001E-2</v>
      </c>
      <c r="O27" s="13">
        <v>2.9441462000000002E-2</v>
      </c>
      <c r="P27" s="13">
        <v>3.9017087999999998E-2</v>
      </c>
      <c r="Q27" s="13">
        <v>4.4924711999999999E-2</v>
      </c>
      <c r="R27" s="13">
        <v>4.9030235999999998E-2</v>
      </c>
      <c r="S27" s="13">
        <v>5.2031800000000003E-2</v>
      </c>
      <c r="T27" s="13">
        <v>8.9334331000000003E-2</v>
      </c>
      <c r="U27" s="13">
        <v>8.7699276000000007E-2</v>
      </c>
      <c r="V27" s="13">
        <v>8.9738717999999995E-2</v>
      </c>
      <c r="W27" s="13">
        <v>9.2872813999999998E-2</v>
      </c>
      <c r="X27" s="13">
        <v>9.4387026999999998E-2</v>
      </c>
      <c r="Y27" s="13">
        <v>9.4658245000000002E-2</v>
      </c>
      <c r="Z27" s="13">
        <v>9.4519369000000006E-2</v>
      </c>
      <c r="AA27" s="13">
        <v>2.7723826E-2</v>
      </c>
      <c r="AB27" s="13">
        <v>3.1716293999999999E-2</v>
      </c>
      <c r="AC27" s="13">
        <v>3.7475771999999997E-2</v>
      </c>
      <c r="AD27" s="13">
        <v>4.4426279999999999E-2</v>
      </c>
      <c r="AE27" s="13">
        <v>4.9543574E-2</v>
      </c>
      <c r="AF27" s="13">
        <v>5.3134656000000002E-2</v>
      </c>
      <c r="AG27" s="13">
        <v>5.5961707999999999E-2</v>
      </c>
      <c r="AH27" s="13">
        <v>7.5349604000000001E-2</v>
      </c>
      <c r="AI27" s="13">
        <v>7.6467002000000006E-2</v>
      </c>
      <c r="AJ27" s="13">
        <v>8.1587491999999998E-2</v>
      </c>
      <c r="AK27" s="13">
        <v>8.7472599999999998E-2</v>
      </c>
      <c r="AL27" s="13">
        <v>8.9703960999999999E-2</v>
      </c>
      <c r="AM27" s="13">
        <v>9.0621014E-2</v>
      </c>
      <c r="AN27" s="13">
        <v>9.079429E-2</v>
      </c>
      <c r="AO27" s="13">
        <v>9.1036690000000003E-2</v>
      </c>
      <c r="AP27" s="14">
        <v>8.4216050000000001E-2</v>
      </c>
      <c r="AQ27" s="14">
        <v>0.62266911999999996</v>
      </c>
    </row>
    <row r="28" spans="1:43" hidden="1" x14ac:dyDescent="0.25">
      <c r="A28" s="15" t="s">
        <v>146</v>
      </c>
      <c r="B28" s="16" t="e">
        <f>VLOOKUP(Sheet1!D28,Sheet2!A25,1,FALSE)</f>
        <v>#N/A</v>
      </c>
      <c r="C28" s="15" t="s">
        <v>23</v>
      </c>
      <c r="D28" s="15" t="s">
        <v>26</v>
      </c>
      <c r="E28" s="16" t="s">
        <v>45</v>
      </c>
      <c r="F28" s="13">
        <v>6.1900905999999999E-2</v>
      </c>
      <c r="G28" s="13">
        <v>6.4471046000000004E-2</v>
      </c>
      <c r="H28" s="13">
        <v>6.9870979E-2</v>
      </c>
      <c r="I28" s="13">
        <v>7.6222414000000002E-2</v>
      </c>
      <c r="J28" s="13">
        <v>7.9866833999999998E-2</v>
      </c>
      <c r="K28" s="13">
        <v>8.2103996999999998E-2</v>
      </c>
      <c r="L28" s="13">
        <v>8.3597082000000003E-2</v>
      </c>
      <c r="M28" s="13">
        <v>-7.2930884000000001E-2</v>
      </c>
      <c r="N28" s="13">
        <v>-6.1848872999999999E-2</v>
      </c>
      <c r="O28" s="13">
        <v>-4.7986050000000002E-2</v>
      </c>
      <c r="P28" s="13">
        <v>-3.0258028999999999E-2</v>
      </c>
      <c r="Q28" s="13">
        <v>-1.8056151999999999E-2</v>
      </c>
      <c r="R28" s="13">
        <v>-8.8100000000000001E-3</v>
      </c>
      <c r="S28" s="13">
        <v>-1.9646239999999999E-3</v>
      </c>
      <c r="T28" s="13">
        <v>0.21812720399999999</v>
      </c>
      <c r="U28" s="13">
        <v>0.20694460100000001</v>
      </c>
      <c r="V28" s="13">
        <v>0.20192215199999999</v>
      </c>
      <c r="W28" s="13">
        <v>0.1946264</v>
      </c>
      <c r="X28" s="13">
        <v>0.18730845700000001</v>
      </c>
      <c r="Y28" s="13">
        <v>0.181681329</v>
      </c>
      <c r="Z28" s="13">
        <v>0.175815369</v>
      </c>
      <c r="AA28" s="13">
        <v>-5.8651887999999999E-2</v>
      </c>
      <c r="AB28" s="13">
        <v>-4.895613E-2</v>
      </c>
      <c r="AC28" s="13">
        <v>-3.9697665E-2</v>
      </c>
      <c r="AD28" s="13">
        <v>-2.2249939E-2</v>
      </c>
      <c r="AE28" s="13">
        <v>-1.1856742E-2</v>
      </c>
      <c r="AF28" s="13">
        <v>-7.9986180000000007E-3</v>
      </c>
      <c r="AG28" s="13">
        <v>-9.3999999999999994E-5</v>
      </c>
      <c r="AH28" s="13">
        <v>0.19814216500000001</v>
      </c>
      <c r="AI28" s="13">
        <v>0.19164301</v>
      </c>
      <c r="AJ28" s="13">
        <v>0.192139585</v>
      </c>
      <c r="AK28" s="13">
        <v>0.184766756</v>
      </c>
      <c r="AL28" s="13">
        <v>0.18023581299999999</v>
      </c>
      <c r="AM28" s="13">
        <v>0.18051620199999999</v>
      </c>
      <c r="AN28" s="13">
        <v>0.17439976300000001</v>
      </c>
      <c r="AO28" s="13">
        <v>0.15472396199999999</v>
      </c>
      <c r="AP28" s="14">
        <v>1.2778555E-2</v>
      </c>
      <c r="AQ28" s="14">
        <v>0.51640390400000002</v>
      </c>
    </row>
    <row r="29" spans="1:43" hidden="1" x14ac:dyDescent="0.25">
      <c r="A29" s="15" t="s">
        <v>146</v>
      </c>
      <c r="B29" s="16" t="e">
        <f>VLOOKUP(Sheet1!D29,Sheet2!A26,1,FALSE)</f>
        <v>#N/A</v>
      </c>
      <c r="C29" s="15" t="s">
        <v>23</v>
      </c>
      <c r="D29" s="15" t="s">
        <v>27</v>
      </c>
      <c r="E29" s="16" t="s">
        <v>47</v>
      </c>
      <c r="F29" s="13">
        <v>4.0065912000000002E-2</v>
      </c>
      <c r="G29" s="13">
        <v>4.3128724E-2</v>
      </c>
      <c r="H29" s="13">
        <v>4.9745610000000003E-2</v>
      </c>
      <c r="I29" s="13">
        <v>5.7876115999999998E-2</v>
      </c>
      <c r="J29" s="13">
        <v>6.2758220000000003E-2</v>
      </c>
      <c r="K29" s="13">
        <v>6.5842227000000003E-2</v>
      </c>
      <c r="L29" s="13">
        <v>6.7932318000000005E-2</v>
      </c>
      <c r="M29" s="13">
        <v>1.4128890000000001E-3</v>
      </c>
      <c r="N29" s="13">
        <v>7.6360639999999997E-3</v>
      </c>
      <c r="O29" s="13">
        <v>1.6904270999999998E-2</v>
      </c>
      <c r="P29" s="13">
        <v>2.8349332000000001E-2</v>
      </c>
      <c r="Q29" s="13">
        <v>3.5488838000000002E-2</v>
      </c>
      <c r="R29" s="13">
        <v>4.0355633000000002E-2</v>
      </c>
      <c r="S29" s="13">
        <v>4.4314676999999997E-2</v>
      </c>
      <c r="T29" s="13">
        <v>8.0451127999999997E-2</v>
      </c>
      <c r="U29" s="13">
        <v>8.0213821000000005E-2</v>
      </c>
      <c r="V29" s="13">
        <v>8.3784138999999994E-2</v>
      </c>
      <c r="W29" s="13">
        <v>8.8517682E-2</v>
      </c>
      <c r="X29" s="13">
        <v>9.0794143999999993E-2</v>
      </c>
      <c r="Y29" s="13">
        <v>9.1736887000000003E-2</v>
      </c>
      <c r="Z29" s="13">
        <v>9.2148656999999995E-2</v>
      </c>
      <c r="AA29" s="13">
        <v>9.5697879999999992E-3</v>
      </c>
      <c r="AB29" s="13">
        <v>1.3566444E-2</v>
      </c>
      <c r="AC29" s="13">
        <v>2.2068278E-2</v>
      </c>
      <c r="AD29" s="13">
        <v>3.2752562999999998E-2</v>
      </c>
      <c r="AE29" s="13">
        <v>3.9045916E-2</v>
      </c>
      <c r="AF29" s="13">
        <v>4.2630304000000001E-2</v>
      </c>
      <c r="AG29" s="13">
        <v>4.6262686999999997E-2</v>
      </c>
      <c r="AH29" s="13">
        <v>7.1501852000000005E-2</v>
      </c>
      <c r="AI29" s="13">
        <v>7.35706E-2</v>
      </c>
      <c r="AJ29" s="13">
        <v>7.8187397000000006E-2</v>
      </c>
      <c r="AK29" s="13">
        <v>8.3622917000000005E-2</v>
      </c>
      <c r="AL29" s="13">
        <v>8.7022299999999997E-2</v>
      </c>
      <c r="AM29" s="13">
        <v>8.9581019999999997E-2</v>
      </c>
      <c r="AN29" s="13">
        <v>9.0059506999999997E-2</v>
      </c>
      <c r="AO29" s="13">
        <v>7.4110272000000005E-2</v>
      </c>
      <c r="AP29" s="14">
        <v>-0.290656476</v>
      </c>
      <c r="AQ29" s="14">
        <v>0.49303355399999998</v>
      </c>
    </row>
    <row r="30" spans="1:43" hidden="1" x14ac:dyDescent="0.25">
      <c r="A30" s="15" t="s">
        <v>146</v>
      </c>
      <c r="B30" s="16" t="e">
        <f>VLOOKUP(Sheet1!D30,Sheet2!A27,1,FALSE)</f>
        <v>#N/A</v>
      </c>
      <c r="C30" s="15" t="s">
        <v>23</v>
      </c>
      <c r="D30" s="15" t="s">
        <v>195</v>
      </c>
      <c r="E30" s="16" t="s">
        <v>45</v>
      </c>
      <c r="F30" s="13">
        <v>5.8735204999999999E-2</v>
      </c>
      <c r="G30" s="13">
        <v>6.0485698999999997E-2</v>
      </c>
      <c r="H30" s="13">
        <v>6.3899204000000001E-2</v>
      </c>
      <c r="I30" s="13">
        <v>6.7412275999999993E-2</v>
      </c>
      <c r="J30" s="13">
        <v>6.9116739999999996E-2</v>
      </c>
      <c r="K30" s="13">
        <v>7.0038933999999997E-2</v>
      </c>
      <c r="L30" s="13">
        <v>7.0609564E-2</v>
      </c>
      <c r="M30" s="13">
        <v>5.1687369999999996E-3</v>
      </c>
      <c r="N30" s="13">
        <v>1.100078E-2</v>
      </c>
      <c r="O30" s="13">
        <v>1.6573485999999998E-2</v>
      </c>
      <c r="P30" s="13">
        <v>2.2890964999999999E-2</v>
      </c>
      <c r="Q30" s="13">
        <v>2.6311885E-2</v>
      </c>
      <c r="R30" s="13">
        <v>2.9623608999999999E-2</v>
      </c>
      <c r="S30" s="13">
        <v>3.2961523E-2</v>
      </c>
      <c r="T30" s="13">
        <v>0.115099384</v>
      </c>
      <c r="U30" s="13">
        <v>0.112356734</v>
      </c>
      <c r="V30" s="13">
        <v>0.11304415</v>
      </c>
      <c r="W30" s="13">
        <v>0.11422292100000001</v>
      </c>
      <c r="X30" s="13">
        <v>0.113616867</v>
      </c>
      <c r="Y30" s="13">
        <v>0.11224158200000001</v>
      </c>
      <c r="Z30" s="13">
        <v>0.109541286</v>
      </c>
      <c r="AA30" s="13">
        <v>2.2027432999999999E-2</v>
      </c>
      <c r="AB30" s="13">
        <v>2.3784689000000001E-2</v>
      </c>
      <c r="AC30" s="13">
        <v>2.4120398000000001E-2</v>
      </c>
      <c r="AD30" s="13">
        <v>2.8576682999999999E-2</v>
      </c>
      <c r="AE30" s="13">
        <v>3.1999775000000001E-2</v>
      </c>
      <c r="AF30" s="13">
        <v>3.4280259E-2</v>
      </c>
      <c r="AG30" s="13">
        <v>3.6678251000000002E-2</v>
      </c>
      <c r="AH30" s="13">
        <v>9.6773503999999996E-2</v>
      </c>
      <c r="AI30" s="13">
        <v>9.8514441999999994E-2</v>
      </c>
      <c r="AJ30" s="13">
        <v>0.105237259</v>
      </c>
      <c r="AK30" s="13">
        <v>0.10772759899999999</v>
      </c>
      <c r="AL30" s="13">
        <v>0.107580827</v>
      </c>
      <c r="AM30" s="13">
        <v>0.10704513</v>
      </c>
      <c r="AN30" s="13">
        <v>0.105661541</v>
      </c>
      <c r="AO30" s="13">
        <v>0.12602084599999999</v>
      </c>
      <c r="AP30" s="14">
        <v>0.12211184</v>
      </c>
      <c r="AQ30" s="14">
        <v>0.56506097300000002</v>
      </c>
    </row>
    <row r="31" spans="1:43" hidden="1" x14ac:dyDescent="0.25">
      <c r="A31" s="15" t="s">
        <v>146</v>
      </c>
      <c r="B31" s="16" t="e">
        <f>VLOOKUP(Sheet1!D31,Sheet2!A28,1,FALSE)</f>
        <v>#N/A</v>
      </c>
      <c r="C31" s="15" t="s">
        <v>23</v>
      </c>
      <c r="D31" s="15" t="s">
        <v>28</v>
      </c>
      <c r="E31" s="16" t="s">
        <v>45</v>
      </c>
      <c r="F31" s="13">
        <v>7.6098921999999999E-2</v>
      </c>
      <c r="G31" s="13">
        <v>7.8418156000000003E-2</v>
      </c>
      <c r="H31" s="13">
        <v>8.3206743999999999E-2</v>
      </c>
      <c r="I31" s="13">
        <v>8.8678811999999996E-2</v>
      </c>
      <c r="J31" s="13">
        <v>9.1719002999999993E-2</v>
      </c>
      <c r="K31" s="13">
        <v>9.3545409999999996E-2</v>
      </c>
      <c r="L31" s="13">
        <v>9.4749893000000002E-2</v>
      </c>
      <c r="M31" s="13">
        <v>1.6977341999999999E-2</v>
      </c>
      <c r="N31" s="13">
        <v>2.3495261E-2</v>
      </c>
      <c r="O31" s="13">
        <v>3.1254087999999999E-2</v>
      </c>
      <c r="P31" s="13">
        <v>3.8716052000000001E-2</v>
      </c>
      <c r="Q31" s="13">
        <v>4.3856295000000003E-2</v>
      </c>
      <c r="R31" s="13">
        <v>4.9172622999999999E-2</v>
      </c>
      <c r="S31" s="13">
        <v>5.2637102999999998E-2</v>
      </c>
      <c r="T31" s="13">
        <v>0.13869361099999999</v>
      </c>
      <c r="U31" s="13">
        <v>0.13569298399999999</v>
      </c>
      <c r="V31" s="13">
        <v>0.13755959300000001</v>
      </c>
      <c r="W31" s="13">
        <v>0.14147680500000001</v>
      </c>
      <c r="X31" s="13">
        <v>0.141861504</v>
      </c>
      <c r="Y31" s="13">
        <v>0.14025974699999999</v>
      </c>
      <c r="Z31" s="13">
        <v>0.13880842800000001</v>
      </c>
      <c r="AA31" s="13">
        <v>3.3853334999999998E-2</v>
      </c>
      <c r="AB31" s="13">
        <v>3.7238212999999999E-2</v>
      </c>
      <c r="AC31" s="13">
        <v>4.0628861000000002E-2</v>
      </c>
      <c r="AD31" s="13">
        <v>4.3173136000000001E-2</v>
      </c>
      <c r="AE31" s="13">
        <v>4.8600734E-2</v>
      </c>
      <c r="AF31" s="13">
        <v>5.3984849000000001E-2</v>
      </c>
      <c r="AG31" s="13">
        <v>5.6692844999999999E-2</v>
      </c>
      <c r="AH31" s="13">
        <v>0.12011353900000001</v>
      </c>
      <c r="AI31" s="13">
        <v>0.121273384</v>
      </c>
      <c r="AJ31" s="13">
        <v>0.127569607</v>
      </c>
      <c r="AK31" s="13">
        <v>0.13621829899999999</v>
      </c>
      <c r="AL31" s="13">
        <v>0.13665359199999999</v>
      </c>
      <c r="AM31" s="13">
        <v>0.134626949</v>
      </c>
      <c r="AN31" s="13">
        <v>0.134210789</v>
      </c>
      <c r="AO31" s="13">
        <v>0.135289936</v>
      </c>
      <c r="AP31" s="14">
        <v>-0.19514732000000001</v>
      </c>
      <c r="AQ31" s="14">
        <v>0.69986188199999999</v>
      </c>
    </row>
    <row r="32" spans="1:43" hidden="1" x14ac:dyDescent="0.25">
      <c r="A32" s="15" t="s">
        <v>128</v>
      </c>
      <c r="B32" s="16" t="e">
        <f>VLOOKUP(Sheet1!D32,Sheet2!A29,1,FALSE)</f>
        <v>#N/A</v>
      </c>
      <c r="C32" s="15" t="s">
        <v>15</v>
      </c>
      <c r="D32" s="15" t="s">
        <v>17</v>
      </c>
      <c r="E32" s="16" t="s">
        <v>29</v>
      </c>
      <c r="F32" s="13">
        <v>5.8907744999999997E-2</v>
      </c>
      <c r="G32" s="13">
        <v>6.0581790000000003E-2</v>
      </c>
      <c r="H32" s="13">
        <v>6.4111133000000001E-2</v>
      </c>
      <c r="I32" s="13">
        <v>6.8282519E-2</v>
      </c>
      <c r="J32" s="13">
        <v>7.0687387000000004E-2</v>
      </c>
      <c r="K32" s="13">
        <v>7.2167534000000005E-2</v>
      </c>
      <c r="L32" s="13">
        <v>7.3156506999999996E-2</v>
      </c>
      <c r="M32" s="13">
        <v>1.3383889999999999E-3</v>
      </c>
      <c r="N32" s="13">
        <v>7.800998E-3</v>
      </c>
      <c r="O32" s="13">
        <v>1.3166485E-2</v>
      </c>
      <c r="P32" s="13">
        <v>1.8285142000000001E-2</v>
      </c>
      <c r="Q32" s="13">
        <v>2.2409522000000001E-2</v>
      </c>
      <c r="R32" s="13">
        <v>2.6686554000000001E-2</v>
      </c>
      <c r="S32" s="13">
        <v>2.9453416E-2</v>
      </c>
      <c r="T32" s="13">
        <v>0.119947757</v>
      </c>
      <c r="U32" s="13">
        <v>0.11593536</v>
      </c>
      <c r="V32" s="13">
        <v>0.116840634</v>
      </c>
      <c r="W32" s="13">
        <v>0.121304378</v>
      </c>
      <c r="X32" s="13">
        <v>0.120773888</v>
      </c>
      <c r="Y32" s="13">
        <v>0.119650439</v>
      </c>
      <c r="Z32" s="13">
        <v>0.118073369</v>
      </c>
      <c r="AA32" s="13">
        <v>2.4027357999999999E-2</v>
      </c>
      <c r="AB32" s="13">
        <v>2.3452803000000001E-2</v>
      </c>
      <c r="AC32" s="13">
        <v>2.3110957000000001E-2</v>
      </c>
      <c r="AD32" s="13">
        <v>2.5885386E-2</v>
      </c>
      <c r="AE32" s="13">
        <v>2.8983492E-2</v>
      </c>
      <c r="AF32" s="13">
        <v>3.1472554999999999E-2</v>
      </c>
      <c r="AG32" s="13">
        <v>3.2557345000000001E-2</v>
      </c>
      <c r="AH32" s="13">
        <v>9.4976226999999996E-2</v>
      </c>
      <c r="AI32" s="13">
        <v>9.905775E-2</v>
      </c>
      <c r="AJ32" s="13">
        <v>0.106754353</v>
      </c>
      <c r="AK32" s="13">
        <v>0.112431827</v>
      </c>
      <c r="AL32" s="13">
        <v>0.114081509</v>
      </c>
      <c r="AM32" s="13">
        <v>0.11446806499999999</v>
      </c>
      <c r="AN32" s="13">
        <v>0.115351988</v>
      </c>
      <c r="AO32" s="13">
        <v>0.14642027199999999</v>
      </c>
      <c r="AP32" s="14">
        <v>-0.127260027</v>
      </c>
      <c r="AQ32" s="14">
        <v>0.844668694</v>
      </c>
    </row>
    <row r="33" spans="1:43" hidden="1" x14ac:dyDescent="0.25">
      <c r="A33" s="15" t="s">
        <v>128</v>
      </c>
      <c r="B33" s="16" t="e">
        <f>VLOOKUP(Sheet1!D33,Sheet2!A30,1,FALSE)</f>
        <v>#N/A</v>
      </c>
      <c r="C33" s="15" t="s">
        <v>15</v>
      </c>
      <c r="D33" s="15" t="s">
        <v>192</v>
      </c>
      <c r="E33" s="16" t="s">
        <v>30</v>
      </c>
      <c r="F33" s="13">
        <v>3.4794868E-2</v>
      </c>
      <c r="G33" s="13">
        <v>3.7777814E-2</v>
      </c>
      <c r="H33" s="13">
        <v>4.4491268E-2</v>
      </c>
      <c r="I33" s="13">
        <v>5.3239046999999998E-2</v>
      </c>
      <c r="J33" s="13">
        <v>5.8789974000000002E-2</v>
      </c>
      <c r="K33" s="13">
        <v>6.2410743999999997E-2</v>
      </c>
      <c r="L33" s="13">
        <v>6.4904962999999996E-2</v>
      </c>
      <c r="M33" s="13">
        <v>-1.4734176999999999E-2</v>
      </c>
      <c r="N33" s="13">
        <v>-6.3024639999999998E-3</v>
      </c>
      <c r="O33" s="13">
        <v>5.2599170000000002E-3</v>
      </c>
      <c r="P33" s="13">
        <v>1.8429076999999999E-2</v>
      </c>
      <c r="Q33" s="13">
        <v>2.7218030000000001E-2</v>
      </c>
      <c r="R33" s="13">
        <v>3.3136653000000002E-2</v>
      </c>
      <c r="S33" s="13">
        <v>3.7550781999999998E-2</v>
      </c>
      <c r="T33" s="13">
        <v>8.6801504000000002E-2</v>
      </c>
      <c r="U33" s="13">
        <v>8.3194192E-2</v>
      </c>
      <c r="V33" s="13">
        <v>8.5333396000000006E-2</v>
      </c>
      <c r="W33" s="13">
        <v>8.9142879999999994E-2</v>
      </c>
      <c r="X33" s="13">
        <v>9.1735544000000002E-2</v>
      </c>
      <c r="Y33" s="13">
        <v>9.2575931E-2</v>
      </c>
      <c r="Z33" s="13">
        <v>9.2991245E-2</v>
      </c>
      <c r="AA33" s="13">
        <v>6.7282189999999997E-3</v>
      </c>
      <c r="AB33" s="13">
        <v>1.1577494000000001E-2</v>
      </c>
      <c r="AC33" s="13">
        <v>1.8217546000000001E-2</v>
      </c>
      <c r="AD33" s="13">
        <v>2.7721626999999999E-2</v>
      </c>
      <c r="AE33" s="13">
        <v>3.4059429000000002E-2</v>
      </c>
      <c r="AF33" s="13">
        <v>3.8479428000000003E-2</v>
      </c>
      <c r="AG33" s="13">
        <v>4.2244003000000002E-2</v>
      </c>
      <c r="AH33" s="13">
        <v>6.3643989999999998E-2</v>
      </c>
      <c r="AI33" s="13">
        <v>6.4656735000000007E-2</v>
      </c>
      <c r="AJ33" s="13">
        <v>7.1442951000000005E-2</v>
      </c>
      <c r="AK33" s="13">
        <v>7.9390044000000007E-2</v>
      </c>
      <c r="AL33" s="13">
        <v>8.4111973000000007E-2</v>
      </c>
      <c r="AM33" s="13">
        <v>8.6893555999999997E-2</v>
      </c>
      <c r="AN33" s="13">
        <v>8.8058628E-2</v>
      </c>
      <c r="AO33" s="13">
        <v>0.135787624</v>
      </c>
      <c r="AP33" s="14">
        <v>-0.166367339</v>
      </c>
      <c r="AQ33" s="14">
        <v>0.97716669499999997</v>
      </c>
    </row>
    <row r="34" spans="1:43" hidden="1" x14ac:dyDescent="0.25">
      <c r="A34" s="15" t="s">
        <v>128</v>
      </c>
      <c r="B34" s="16" t="e">
        <f>VLOOKUP(Sheet1!D34,Sheet2!A31,1,FALSE)</f>
        <v>#N/A</v>
      </c>
      <c r="C34" s="15" t="s">
        <v>15</v>
      </c>
      <c r="D34" s="15" t="s">
        <v>129</v>
      </c>
      <c r="E34" s="16" t="s">
        <v>139</v>
      </c>
      <c r="F34" s="13">
        <v>5.2793737E-2</v>
      </c>
      <c r="G34" s="13">
        <v>5.4153197E-2</v>
      </c>
      <c r="H34" s="13">
        <v>5.6925189000000001E-2</v>
      </c>
      <c r="I34" s="13">
        <v>6.0022743000000003E-2</v>
      </c>
      <c r="J34" s="13">
        <v>6.1697683000000003E-2</v>
      </c>
      <c r="K34" s="13">
        <v>6.2684360999999994E-2</v>
      </c>
      <c r="L34" s="13">
        <v>6.3327612000000005E-2</v>
      </c>
      <c r="M34" s="13">
        <v>-4.1143915000000003E-2</v>
      </c>
      <c r="N34" s="13">
        <v>-3.3616044999999997E-2</v>
      </c>
      <c r="O34" s="13">
        <v>-2.5020783000000001E-2</v>
      </c>
      <c r="P34" s="13">
        <v>-1.4296832000000001E-2</v>
      </c>
      <c r="Q34" s="13">
        <v>-5.5682450000000003E-3</v>
      </c>
      <c r="R34" s="13">
        <v>2.83152E-4</v>
      </c>
      <c r="S34" s="13">
        <v>4.5887790000000003E-3</v>
      </c>
      <c r="T34" s="13">
        <v>0.15565448000000001</v>
      </c>
      <c r="U34" s="13">
        <v>0.149163822</v>
      </c>
      <c r="V34" s="13">
        <v>0.14539838999999999</v>
      </c>
      <c r="W34" s="13">
        <v>0.13972004900000001</v>
      </c>
      <c r="X34" s="13">
        <v>0.133821142</v>
      </c>
      <c r="Y34" s="13">
        <v>0.12916830800000001</v>
      </c>
      <c r="Z34" s="13">
        <v>0.12581220400000001</v>
      </c>
      <c r="AA34" s="13">
        <v>-2.6946096999999999E-2</v>
      </c>
      <c r="AB34" s="13">
        <v>-2.073997E-2</v>
      </c>
      <c r="AC34" s="13">
        <v>-1.5333705E-2</v>
      </c>
      <c r="AD34" s="13">
        <v>-1.1740603E-2</v>
      </c>
      <c r="AE34" s="13">
        <v>-5.1152510000000003E-3</v>
      </c>
      <c r="AF34" s="13">
        <v>2.362552E-3</v>
      </c>
      <c r="AG34" s="13">
        <v>4.6844139999999996E-3</v>
      </c>
      <c r="AH34" s="13">
        <v>0.139068096</v>
      </c>
      <c r="AI34" s="13">
        <v>0.13477414700000001</v>
      </c>
      <c r="AJ34" s="13">
        <v>0.13448673999999999</v>
      </c>
      <c r="AK34" s="13">
        <v>0.13699725300000001</v>
      </c>
      <c r="AL34" s="13">
        <v>0.13299754</v>
      </c>
      <c r="AM34" s="13">
        <v>0.12663634600000001</v>
      </c>
      <c r="AN34" s="13">
        <v>0.1253938</v>
      </c>
      <c r="AO34" s="13">
        <v>0.150040386</v>
      </c>
      <c r="AP34" s="14">
        <v>-0.18516519000000001</v>
      </c>
      <c r="AQ34" s="14">
        <v>0.63535087000000001</v>
      </c>
    </row>
    <row r="35" spans="1:43" hidden="1" x14ac:dyDescent="0.25">
      <c r="A35" s="15" t="s">
        <v>128</v>
      </c>
      <c r="B35" s="16" t="e">
        <f>VLOOKUP(Sheet1!D35,Sheet2!A32,1,FALSE)</f>
        <v>#N/A</v>
      </c>
      <c r="C35" s="15" t="s">
        <v>15</v>
      </c>
      <c r="D35" s="15" t="s">
        <v>18</v>
      </c>
      <c r="E35" s="16" t="s">
        <v>31</v>
      </c>
      <c r="F35" s="13">
        <v>4.7370663E-2</v>
      </c>
      <c r="G35" s="13">
        <v>5.0801496000000002E-2</v>
      </c>
      <c r="H35" s="13">
        <v>5.8596996999999998E-2</v>
      </c>
      <c r="I35" s="13">
        <v>6.8889714000000005E-2</v>
      </c>
      <c r="J35" s="13">
        <v>7.5498557999999993E-2</v>
      </c>
      <c r="K35" s="13">
        <v>7.9838323000000003E-2</v>
      </c>
      <c r="L35" s="13">
        <v>8.2838175E-2</v>
      </c>
      <c r="M35" s="13">
        <v>-1.1814725999999999E-2</v>
      </c>
      <c r="N35" s="13">
        <v>-9.6326699999999996E-4</v>
      </c>
      <c r="O35" s="13">
        <v>1.2881017999999999E-2</v>
      </c>
      <c r="P35" s="13">
        <v>2.9044782000000002E-2</v>
      </c>
      <c r="Q35" s="13">
        <v>3.9822392999999998E-2</v>
      </c>
      <c r="R35" s="13">
        <v>4.6734462999999997E-2</v>
      </c>
      <c r="S35" s="13">
        <v>5.1620946000000001E-2</v>
      </c>
      <c r="T35" s="13">
        <v>0.11036598</v>
      </c>
      <c r="U35" s="13">
        <v>0.10563101499999999</v>
      </c>
      <c r="V35" s="13">
        <v>0.107004006</v>
      </c>
      <c r="W35" s="13">
        <v>0.110510627</v>
      </c>
      <c r="X35" s="13">
        <v>0.112868933</v>
      </c>
      <c r="Y35" s="13">
        <v>0.114113247</v>
      </c>
      <c r="Z35" s="13">
        <v>0.114696099</v>
      </c>
      <c r="AA35" s="13">
        <v>2.1570566999999999E-2</v>
      </c>
      <c r="AB35" s="13">
        <v>2.4301270999999999E-2</v>
      </c>
      <c r="AC35" s="13">
        <v>3.2797079999999999E-2</v>
      </c>
      <c r="AD35" s="13">
        <v>4.4815440999999998E-2</v>
      </c>
      <c r="AE35" s="13">
        <v>5.2025188E-2</v>
      </c>
      <c r="AF35" s="13">
        <v>5.6601711999999998E-2</v>
      </c>
      <c r="AG35" s="13">
        <v>6.0464254000000002E-2</v>
      </c>
      <c r="AH35" s="13">
        <v>7.3822350999999994E-2</v>
      </c>
      <c r="AI35" s="13">
        <v>7.7987359000000006E-2</v>
      </c>
      <c r="AJ35" s="13">
        <v>8.5041410999999997E-2</v>
      </c>
      <c r="AK35" s="13">
        <v>9.3518696999999998E-2</v>
      </c>
      <c r="AL35" s="13">
        <v>9.9495686E-2</v>
      </c>
      <c r="AM35" s="13">
        <v>0.103585952</v>
      </c>
      <c r="AN35" s="13">
        <v>0.10568414600000001</v>
      </c>
      <c r="AO35" s="13">
        <v>0.172745334</v>
      </c>
      <c r="AP35" s="14">
        <v>-0.114637923</v>
      </c>
      <c r="AQ35" s="14">
        <v>0.61955027900000004</v>
      </c>
    </row>
    <row r="36" spans="1:43" hidden="1" x14ac:dyDescent="0.25">
      <c r="A36" s="15" t="s">
        <v>128</v>
      </c>
      <c r="B36" s="16" t="e">
        <f>VLOOKUP(Sheet1!D36,Sheet2!A33,1,FALSE)</f>
        <v>#N/A</v>
      </c>
      <c r="C36" s="15" t="s">
        <v>15</v>
      </c>
      <c r="D36" s="15" t="s">
        <v>54</v>
      </c>
      <c r="E36" s="16" t="s">
        <v>67</v>
      </c>
      <c r="F36" s="13">
        <v>4.3146167999999999E-2</v>
      </c>
      <c r="G36" s="13">
        <v>4.5918091000000001E-2</v>
      </c>
      <c r="H36" s="13">
        <v>5.2114933000000002E-2</v>
      </c>
      <c r="I36" s="13">
        <v>6.0113988E-2</v>
      </c>
      <c r="J36" s="13">
        <v>6.5146612000000007E-2</v>
      </c>
      <c r="K36" s="13">
        <v>6.8413301999999995E-2</v>
      </c>
      <c r="L36" s="13">
        <v>7.0657951999999996E-2</v>
      </c>
      <c r="M36" s="13">
        <v>-2.1771282999999999E-2</v>
      </c>
      <c r="N36" s="13">
        <v>-1.242133E-2</v>
      </c>
      <c r="O36" s="13">
        <v>-3.1240199999999999E-3</v>
      </c>
      <c r="P36" s="13">
        <v>9.4664009999999993E-3</v>
      </c>
      <c r="Q36" s="13">
        <v>1.7616455999999999E-2</v>
      </c>
      <c r="R36" s="13">
        <v>2.3101656000000002E-2</v>
      </c>
      <c r="S36" s="13">
        <v>2.8372382000000002E-2</v>
      </c>
      <c r="T36" s="13">
        <v>0.112282486</v>
      </c>
      <c r="U36" s="13">
        <v>0.10766263299999999</v>
      </c>
      <c r="V36" s="13">
        <v>0.10999289800000001</v>
      </c>
      <c r="W36" s="13">
        <v>0.113453129</v>
      </c>
      <c r="X36" s="13">
        <v>0.114809385</v>
      </c>
      <c r="Y36" s="13">
        <v>0.11560865400000001</v>
      </c>
      <c r="Z36" s="13">
        <v>0.114695714</v>
      </c>
      <c r="AA36" s="13">
        <v>-1.9067909999999999E-3</v>
      </c>
      <c r="AB36" s="13">
        <v>2.7111180000000002E-3</v>
      </c>
      <c r="AC36" s="13">
        <v>1.008262E-2</v>
      </c>
      <c r="AD36" s="13">
        <v>1.6253604000000001E-2</v>
      </c>
      <c r="AE36" s="13">
        <v>2.338848E-2</v>
      </c>
      <c r="AF36" s="13">
        <v>2.9726065999999999E-2</v>
      </c>
      <c r="AG36" s="13">
        <v>3.2797581999999999E-2</v>
      </c>
      <c r="AH36" s="13">
        <v>9.0232775000000001E-2</v>
      </c>
      <c r="AI36" s="13">
        <v>9.0986864000000001E-2</v>
      </c>
      <c r="AJ36" s="13">
        <v>9.5896329000000002E-2</v>
      </c>
      <c r="AK36" s="13">
        <v>0.10586733800000001</v>
      </c>
      <c r="AL36" s="13">
        <v>0.108608634</v>
      </c>
      <c r="AM36" s="13">
        <v>0.10855406200000001</v>
      </c>
      <c r="AN36" s="13">
        <v>0.109906211</v>
      </c>
      <c r="AO36" s="13">
        <v>0.16338503300000001</v>
      </c>
      <c r="AP36" s="14">
        <v>-0.21034376299999999</v>
      </c>
      <c r="AQ36" s="14">
        <v>0.88733006699999994</v>
      </c>
    </row>
    <row r="37" spans="1:43" hidden="1" x14ac:dyDescent="0.25">
      <c r="A37" s="15" t="s">
        <v>128</v>
      </c>
      <c r="B37" s="16" t="e">
        <f>VLOOKUP(Sheet1!D37,Sheet2!A34,1,FALSE)</f>
        <v>#N/A</v>
      </c>
      <c r="C37" s="15" t="s">
        <v>15</v>
      </c>
      <c r="D37" s="15" t="s">
        <v>130</v>
      </c>
      <c r="E37" s="16" t="s">
        <v>140</v>
      </c>
      <c r="F37" s="13">
        <v>4.2712003999999998E-2</v>
      </c>
      <c r="G37" s="13">
        <v>4.5242223999999998E-2</v>
      </c>
      <c r="H37" s="13">
        <v>5.0852909000000002E-2</v>
      </c>
      <c r="I37" s="13">
        <v>5.8012058999999998E-2</v>
      </c>
      <c r="J37" s="13">
        <v>6.2468365999999997E-2</v>
      </c>
      <c r="K37" s="13">
        <v>6.5343167999999993E-2</v>
      </c>
      <c r="L37" s="13">
        <v>6.7312259999999999E-2</v>
      </c>
      <c r="M37" s="13">
        <v>-1.364011E-3</v>
      </c>
      <c r="N37" s="13">
        <v>6.4187979999999999E-3</v>
      </c>
      <c r="O37" s="13">
        <v>1.703876E-2</v>
      </c>
      <c r="P37" s="13">
        <v>2.8585284999999998E-2</v>
      </c>
      <c r="Q37" s="13">
        <v>3.6365297999999997E-2</v>
      </c>
      <c r="R37" s="13">
        <v>4.1467761999999998E-2</v>
      </c>
      <c r="S37" s="13">
        <v>4.5107371E-2</v>
      </c>
      <c r="T37" s="13">
        <v>8.8386293000000005E-2</v>
      </c>
      <c r="U37" s="13">
        <v>8.4692025000000004E-2</v>
      </c>
      <c r="V37" s="13">
        <v>8.5636928000000001E-2</v>
      </c>
      <c r="W37" s="13">
        <v>8.8013473999999994E-2</v>
      </c>
      <c r="X37" s="13">
        <v>8.9102785000000004E-2</v>
      </c>
      <c r="Y37" s="13">
        <v>9.0203730999999995E-2</v>
      </c>
      <c r="Z37" s="13">
        <v>9.0254801999999995E-2</v>
      </c>
      <c r="AA37" s="13">
        <v>2.2598006E-2</v>
      </c>
      <c r="AB37" s="13">
        <v>2.5865274000000001E-2</v>
      </c>
      <c r="AC37" s="13">
        <v>3.1830189000000002E-2</v>
      </c>
      <c r="AD37" s="13">
        <v>3.9771334999999998E-2</v>
      </c>
      <c r="AE37" s="13">
        <v>4.4665115999999998E-2</v>
      </c>
      <c r="AF37" s="13">
        <v>4.8228686999999999E-2</v>
      </c>
      <c r="AG37" s="13">
        <v>5.1456707999999997E-2</v>
      </c>
      <c r="AH37" s="13">
        <v>6.3221633999999999E-2</v>
      </c>
      <c r="AI37" s="13">
        <v>6.4985174000000007E-2</v>
      </c>
      <c r="AJ37" s="13">
        <v>7.0226330000000003E-2</v>
      </c>
      <c r="AK37" s="13">
        <v>7.6572779999999993E-2</v>
      </c>
      <c r="AL37" s="13">
        <v>8.0575020999999997E-2</v>
      </c>
      <c r="AM37" s="13">
        <v>8.2737078000000006E-2</v>
      </c>
      <c r="AN37" s="13">
        <v>8.3406909000000001E-2</v>
      </c>
      <c r="AO37" s="13">
        <v>0.12517946099999999</v>
      </c>
      <c r="AP37" s="14">
        <v>-0.15804242600000001</v>
      </c>
      <c r="AQ37" s="14">
        <v>1</v>
      </c>
    </row>
    <row r="38" spans="1:43" hidden="1" x14ac:dyDescent="0.25">
      <c r="A38" s="15" t="s">
        <v>128</v>
      </c>
      <c r="B38" s="16" t="e">
        <f>VLOOKUP(Sheet1!D38,Sheet2!A35,1,FALSE)</f>
        <v>#N/A</v>
      </c>
      <c r="C38" s="15" t="s">
        <v>15</v>
      </c>
      <c r="D38" s="15" t="s">
        <v>171</v>
      </c>
      <c r="E38" s="16" t="s">
        <v>164</v>
      </c>
      <c r="F38" s="13">
        <v>5.6934304999999998E-2</v>
      </c>
      <c r="G38" s="13">
        <v>5.7509311E-2</v>
      </c>
      <c r="H38" s="13">
        <v>5.8386665999999997E-2</v>
      </c>
      <c r="I38" s="13">
        <v>5.8790282999999999E-2</v>
      </c>
      <c r="J38" s="13">
        <v>5.8631387E-2</v>
      </c>
      <c r="K38" s="13">
        <v>5.8378053999999999E-2</v>
      </c>
      <c r="L38" s="13">
        <v>5.8152853999999997E-2</v>
      </c>
      <c r="M38" s="13">
        <v>-7.7203626999999997E-2</v>
      </c>
      <c r="N38" s="13">
        <v>-7.3132938999999994E-2</v>
      </c>
      <c r="O38" s="13">
        <v>-8.3135899999999999E-2</v>
      </c>
      <c r="P38" s="13">
        <v>-9.2389658999999999E-2</v>
      </c>
      <c r="Q38" s="13">
        <v>-8.9521066999999996E-2</v>
      </c>
      <c r="R38" s="13">
        <v>-8.4514236000000006E-2</v>
      </c>
      <c r="S38" s="13">
        <v>-7.8831030999999996E-2</v>
      </c>
      <c r="T38" s="13">
        <v>0.21096261399999999</v>
      </c>
      <c r="U38" s="13">
        <v>0.207456737</v>
      </c>
      <c r="V38" s="13">
        <v>0.220038498</v>
      </c>
      <c r="W38" s="13">
        <v>0.23466373400000001</v>
      </c>
      <c r="X38" s="13">
        <v>0.23018503500000001</v>
      </c>
      <c r="Y38" s="13">
        <v>0.222953715</v>
      </c>
      <c r="Z38" s="13">
        <v>0.21596000600000001</v>
      </c>
      <c r="AA38" s="13">
        <v>-4.9464203999999998E-2</v>
      </c>
      <c r="AB38" s="13">
        <v>-5.4043168000000003E-2</v>
      </c>
      <c r="AC38" s="13">
        <v>-7.2344442999999994E-2</v>
      </c>
      <c r="AD38" s="13">
        <v>-8.2073407000000001E-2</v>
      </c>
      <c r="AE38" s="13">
        <v>-8.5109439999999995E-2</v>
      </c>
      <c r="AF38" s="13">
        <v>-7.8416387000000004E-2</v>
      </c>
      <c r="AG38" s="13">
        <v>-7.5835501E-2</v>
      </c>
      <c r="AH38" s="13">
        <v>0.17524256699999999</v>
      </c>
      <c r="AI38" s="13">
        <v>0.18221670100000001</v>
      </c>
      <c r="AJ38" s="13">
        <v>0.207541328</v>
      </c>
      <c r="AK38" s="13">
        <v>0.22127078999999999</v>
      </c>
      <c r="AL38" s="13">
        <v>0.224955708</v>
      </c>
      <c r="AM38" s="13">
        <v>0.21547756600000001</v>
      </c>
      <c r="AN38" s="13">
        <v>0.21156735300000001</v>
      </c>
      <c r="AO38" s="13">
        <v>0.29428058499999998</v>
      </c>
      <c r="AP38" s="14">
        <v>-5.8795640000000003E-2</v>
      </c>
      <c r="AQ38" s="14">
        <v>0.197799471</v>
      </c>
    </row>
    <row r="39" spans="1:43" hidden="1" x14ac:dyDescent="0.25">
      <c r="A39" s="15" t="s">
        <v>128</v>
      </c>
      <c r="B39" s="16" t="e">
        <f>VLOOKUP(Sheet1!D39,Sheet2!A36,1,FALSE)</f>
        <v>#N/A</v>
      </c>
      <c r="C39" s="15" t="s">
        <v>15</v>
      </c>
      <c r="D39" s="15" t="s">
        <v>170</v>
      </c>
      <c r="E39" s="16" t="s">
        <v>165</v>
      </c>
      <c r="F39" s="13">
        <v>4.6397766999999999E-2</v>
      </c>
      <c r="G39" s="13">
        <v>5.0469027E-2</v>
      </c>
      <c r="H39" s="13">
        <v>5.9824228E-2</v>
      </c>
      <c r="I39" s="13">
        <v>7.2367127000000003E-2</v>
      </c>
      <c r="J39" s="13">
        <v>8.0530011999999998E-2</v>
      </c>
      <c r="K39" s="13">
        <v>8.5931030000000005E-2</v>
      </c>
      <c r="L39" s="13">
        <v>8.9679233999999997E-2</v>
      </c>
      <c r="M39" s="13">
        <v>-5.2384865000000003E-2</v>
      </c>
      <c r="N39" s="13">
        <v>-3.8804599000000002E-2</v>
      </c>
      <c r="O39" s="13">
        <v>-2.7629516E-2</v>
      </c>
      <c r="P39" s="13">
        <v>-1.2686599E-2</v>
      </c>
      <c r="Q39" s="13">
        <v>-1.158327E-3</v>
      </c>
      <c r="R39" s="13">
        <v>8.6683520000000007E-3</v>
      </c>
      <c r="S39" s="13">
        <v>1.6511598999999998E-2</v>
      </c>
      <c r="T39" s="13">
        <v>0.156054095</v>
      </c>
      <c r="U39" s="13">
        <v>0.14923366699999999</v>
      </c>
      <c r="V39" s="13">
        <v>0.154852241</v>
      </c>
      <c r="W39" s="13">
        <v>0.16579905</v>
      </c>
      <c r="X39" s="13">
        <v>0.169200248</v>
      </c>
      <c r="Y39" s="13">
        <v>0.17009158699999999</v>
      </c>
      <c r="Z39" s="13">
        <v>0.16849451200000001</v>
      </c>
      <c r="AA39" s="13">
        <v>-1.9625837E-2</v>
      </c>
      <c r="AB39" s="13">
        <v>-1.3147343000000001E-2</v>
      </c>
      <c r="AC39" s="13">
        <v>-1.0440110000000001E-2</v>
      </c>
      <c r="AD39" s="13">
        <v>-1.171849E-3</v>
      </c>
      <c r="AE39" s="13">
        <v>7.3183739999999999E-3</v>
      </c>
      <c r="AF39" s="13">
        <v>1.4349868E-2</v>
      </c>
      <c r="AG39" s="13">
        <v>2.2914984999999999E-2</v>
      </c>
      <c r="AH39" s="13">
        <v>0.11686775100000001</v>
      </c>
      <c r="AI39" s="13">
        <v>0.11818636</v>
      </c>
      <c r="AJ39" s="13">
        <v>0.135077738</v>
      </c>
      <c r="AK39" s="13">
        <v>0.15132042900000001</v>
      </c>
      <c r="AL39" s="13">
        <v>0.15906265999999999</v>
      </c>
      <c r="AM39" s="13">
        <v>0.16256356999999999</v>
      </c>
      <c r="AN39" s="13">
        <v>0.160801095</v>
      </c>
      <c r="AO39" s="13">
        <v>0.24915664700000001</v>
      </c>
      <c r="AP39" s="14">
        <v>-0.112308095</v>
      </c>
      <c r="AQ39" s="14">
        <v>0.37445112899999999</v>
      </c>
    </row>
    <row r="40" spans="1:43" hidden="1" x14ac:dyDescent="0.25">
      <c r="A40" s="15" t="s">
        <v>128</v>
      </c>
      <c r="B40" s="16" t="e">
        <f>VLOOKUP(Sheet1!D40,Sheet2!A37,1,FALSE)</f>
        <v>#N/A</v>
      </c>
      <c r="C40" s="15" t="s">
        <v>20</v>
      </c>
      <c r="D40" s="15" t="s">
        <v>21</v>
      </c>
      <c r="E40" s="16" t="s">
        <v>39</v>
      </c>
      <c r="F40" s="13">
        <v>2.169826E-2</v>
      </c>
      <c r="G40" s="13">
        <v>2.4336434000000001E-2</v>
      </c>
      <c r="H40" s="13">
        <v>3.0219602000000002E-2</v>
      </c>
      <c r="I40" s="13">
        <v>3.7787057999999998E-2</v>
      </c>
      <c r="J40" s="13">
        <v>4.2532767999999999E-2</v>
      </c>
      <c r="K40" s="13">
        <v>4.5607499000000003E-2</v>
      </c>
      <c r="L40" s="13">
        <v>4.7718223999999997E-2</v>
      </c>
      <c r="M40" s="13">
        <v>-2.2618777E-2</v>
      </c>
      <c r="N40" s="13">
        <v>-1.7040899000000002E-2</v>
      </c>
      <c r="O40" s="13">
        <v>-1.0226752E-2</v>
      </c>
      <c r="P40" s="13">
        <v>-2.4692329999999999E-3</v>
      </c>
      <c r="Q40" s="13">
        <v>3.9117860000000004E-3</v>
      </c>
      <c r="R40" s="13">
        <v>8.4390509999999995E-3</v>
      </c>
      <c r="S40" s="13">
        <v>1.2609268999999999E-2</v>
      </c>
      <c r="T40" s="13">
        <v>6.7400283000000005E-2</v>
      </c>
      <c r="U40" s="13">
        <v>6.6974011999999999E-2</v>
      </c>
      <c r="V40" s="13">
        <v>7.2226264999999998E-2</v>
      </c>
      <c r="W40" s="13">
        <v>7.9416053E-2</v>
      </c>
      <c r="X40" s="13">
        <v>8.2859990999999994E-2</v>
      </c>
      <c r="Y40" s="13">
        <v>8.4364766999999993E-2</v>
      </c>
      <c r="Z40" s="13">
        <v>8.3838125999999999E-2</v>
      </c>
      <c r="AA40" s="13">
        <v>-1.0175198999999999E-2</v>
      </c>
      <c r="AB40" s="13">
        <v>-9.1950130000000001E-3</v>
      </c>
      <c r="AC40" s="13">
        <v>-5.5125929999999997E-3</v>
      </c>
      <c r="AD40" s="13">
        <v>5.6788699999999999E-4</v>
      </c>
      <c r="AE40" s="13">
        <v>7.1973050000000002E-3</v>
      </c>
      <c r="AF40" s="13">
        <v>1.1556366E-2</v>
      </c>
      <c r="AG40" s="13">
        <v>1.4751304999999999E-2</v>
      </c>
      <c r="AH40" s="13">
        <v>5.459808E-2</v>
      </c>
      <c r="AI40" s="13">
        <v>5.9002672999999999E-2</v>
      </c>
      <c r="AJ40" s="13">
        <v>6.7235664000000001E-2</v>
      </c>
      <c r="AK40" s="13">
        <v>7.6390709000000001E-2</v>
      </c>
      <c r="AL40" s="13">
        <v>7.9107905000000006E-2</v>
      </c>
      <c r="AM40" s="13">
        <v>8.0804866000000003E-2</v>
      </c>
      <c r="AN40" s="13">
        <v>8.1756160999999994E-2</v>
      </c>
      <c r="AO40" s="13">
        <v>0.100640355</v>
      </c>
      <c r="AP40" s="14">
        <v>0.51059305300000002</v>
      </c>
      <c r="AQ40" s="14">
        <v>0.238041789</v>
      </c>
    </row>
    <row r="41" spans="1:43" hidden="1" x14ac:dyDescent="0.25">
      <c r="A41" s="15" t="s">
        <v>128</v>
      </c>
      <c r="B41" s="16" t="e">
        <f>VLOOKUP(Sheet1!D41,Sheet2!A38,1,FALSE)</f>
        <v>#N/A</v>
      </c>
      <c r="C41" s="15" t="s">
        <v>20</v>
      </c>
      <c r="D41" s="15" t="s">
        <v>22</v>
      </c>
      <c r="E41" s="16" t="s">
        <v>41</v>
      </c>
      <c r="F41" s="13">
        <v>2.5704250000000001E-2</v>
      </c>
      <c r="G41" s="13">
        <v>2.6715839000000002E-2</v>
      </c>
      <c r="H41" s="13">
        <v>2.8661031E-2</v>
      </c>
      <c r="I41" s="13">
        <v>3.0604632999999999E-2</v>
      </c>
      <c r="J41" s="13">
        <v>3.1504960999999998E-2</v>
      </c>
      <c r="K41" s="13">
        <v>3.1971418000000001E-2</v>
      </c>
      <c r="L41" s="13">
        <v>3.2251429999999998E-2</v>
      </c>
      <c r="M41" s="13">
        <v>-6.3145969999999999E-3</v>
      </c>
      <c r="N41" s="13">
        <v>-2.3058890000000002E-3</v>
      </c>
      <c r="O41" s="13">
        <v>1.813446E-3</v>
      </c>
      <c r="P41" s="13">
        <v>5.9691880000000003E-3</v>
      </c>
      <c r="Q41" s="13">
        <v>8.382334E-3</v>
      </c>
      <c r="R41" s="13">
        <v>1.0271562999999999E-2</v>
      </c>
      <c r="S41" s="13">
        <v>1.1777266E-2</v>
      </c>
      <c r="T41" s="13">
        <v>5.9009363000000002E-2</v>
      </c>
      <c r="U41" s="13">
        <v>5.6551947999999998E-2</v>
      </c>
      <c r="V41" s="13">
        <v>5.6340751000000001E-2</v>
      </c>
      <c r="W41" s="13">
        <v>5.5937263000000001E-2</v>
      </c>
      <c r="X41" s="13">
        <v>5.5135455E-2</v>
      </c>
      <c r="Y41" s="13">
        <v>5.4081041000000003E-2</v>
      </c>
      <c r="Z41" s="13">
        <v>5.3203779E-2</v>
      </c>
      <c r="AA41" s="13">
        <v>4.5408970000000003E-3</v>
      </c>
      <c r="AB41" s="13">
        <v>5.2886790000000001E-3</v>
      </c>
      <c r="AC41" s="13">
        <v>6.5442290000000004E-3</v>
      </c>
      <c r="AD41" s="13">
        <v>8.9851380000000002E-3</v>
      </c>
      <c r="AE41" s="13">
        <v>1.0250117E-2</v>
      </c>
      <c r="AF41" s="13">
        <v>1.1875752E-2</v>
      </c>
      <c r="AG41" s="13">
        <v>1.3997051E-2</v>
      </c>
      <c r="AH41" s="13">
        <v>4.7313466999999998E-2</v>
      </c>
      <c r="AI41" s="13">
        <v>4.8599720999999999E-2</v>
      </c>
      <c r="AJ41" s="13">
        <v>5.1263806000000002E-2</v>
      </c>
      <c r="AK41" s="13">
        <v>5.2687368999999998E-2</v>
      </c>
      <c r="AL41" s="13">
        <v>5.3206994000000001E-2</v>
      </c>
      <c r="AM41" s="13">
        <v>5.2466180000000001E-2</v>
      </c>
      <c r="AN41" s="13">
        <v>5.083443E-2</v>
      </c>
      <c r="AO41" s="13">
        <v>7.6427117000000003E-2</v>
      </c>
      <c r="AP41" s="14">
        <v>0.286953293</v>
      </c>
      <c r="AQ41" s="14">
        <v>0.29202973700000001</v>
      </c>
    </row>
    <row r="42" spans="1:43" hidden="1" x14ac:dyDescent="0.25">
      <c r="A42" s="15" t="s">
        <v>128</v>
      </c>
      <c r="B42" s="16" t="e">
        <f>VLOOKUP(Sheet1!D42,Sheet2!A39,1,FALSE)</f>
        <v>#N/A</v>
      </c>
      <c r="C42" s="15" t="s">
        <v>20</v>
      </c>
      <c r="D42" s="15" t="s">
        <v>131</v>
      </c>
      <c r="E42" s="16" t="s">
        <v>141</v>
      </c>
      <c r="F42" s="13">
        <v>3.4882478000000001E-2</v>
      </c>
      <c r="G42" s="13">
        <v>3.6534610000000002E-2</v>
      </c>
      <c r="H42" s="13">
        <v>4.0022737000000003E-2</v>
      </c>
      <c r="I42" s="13">
        <v>4.4154880000000001E-2</v>
      </c>
      <c r="J42" s="13">
        <v>4.6543005999999998E-2</v>
      </c>
      <c r="K42" s="13">
        <v>4.8015200000000001E-2</v>
      </c>
      <c r="L42" s="13">
        <v>4.8999712000000001E-2</v>
      </c>
      <c r="M42" s="13">
        <v>3.8241260000000002E-3</v>
      </c>
      <c r="N42" s="13">
        <v>8.2568320000000004E-3</v>
      </c>
      <c r="O42" s="13">
        <v>1.3961902999999999E-2</v>
      </c>
      <c r="P42" s="13">
        <v>1.9557742999999999E-2</v>
      </c>
      <c r="Q42" s="13">
        <v>2.3320938999999999E-2</v>
      </c>
      <c r="R42" s="13">
        <v>2.6583888E-2</v>
      </c>
      <c r="S42" s="13">
        <v>2.8529295999999999E-2</v>
      </c>
      <c r="T42" s="13">
        <v>6.6796724000000002E-2</v>
      </c>
      <c r="U42" s="13">
        <v>6.5177808000000004E-2</v>
      </c>
      <c r="V42" s="13">
        <v>6.6799089000000006E-2</v>
      </c>
      <c r="W42" s="13">
        <v>6.9150313000000005E-2</v>
      </c>
      <c r="X42" s="13">
        <v>7.0194441999999996E-2</v>
      </c>
      <c r="Y42" s="13">
        <v>7.0124923000000006E-2</v>
      </c>
      <c r="Z42" s="13">
        <v>6.9833468999999995E-2</v>
      </c>
      <c r="AA42" s="13">
        <v>1.4522858E-2</v>
      </c>
      <c r="AB42" s="13">
        <v>1.6887757999999999E-2</v>
      </c>
      <c r="AC42" s="13">
        <v>1.9943163E-2</v>
      </c>
      <c r="AD42" s="13">
        <v>2.4024001E-2</v>
      </c>
      <c r="AE42" s="13">
        <v>2.6994674999999999E-2</v>
      </c>
      <c r="AF42" s="13">
        <v>2.9157153000000002E-2</v>
      </c>
      <c r="AG42" s="13">
        <v>3.1573524999999998E-2</v>
      </c>
      <c r="AH42" s="13">
        <v>5.5650677000000003E-2</v>
      </c>
      <c r="AI42" s="13">
        <v>5.6561051000000001E-2</v>
      </c>
      <c r="AJ42" s="13">
        <v>6.0497615999999997E-2</v>
      </c>
      <c r="AK42" s="13">
        <v>6.4681508999999998E-2</v>
      </c>
      <c r="AL42" s="13">
        <v>6.6463430000000004E-2</v>
      </c>
      <c r="AM42" s="13">
        <v>6.7218798999999996E-2</v>
      </c>
      <c r="AN42" s="13">
        <v>6.6720274999999996E-2</v>
      </c>
      <c r="AO42" s="13">
        <v>7.5361209999999998E-2</v>
      </c>
      <c r="AP42" s="14">
        <v>0.19175067200000001</v>
      </c>
      <c r="AQ42" s="14">
        <v>0.448678886</v>
      </c>
    </row>
    <row r="43" spans="1:43" hidden="1" x14ac:dyDescent="0.25">
      <c r="A43" s="15" t="s">
        <v>128</v>
      </c>
      <c r="B43" s="16" t="e">
        <f>VLOOKUP(Sheet1!D43,Sheet2!A40,1,FALSE)</f>
        <v>#N/A</v>
      </c>
      <c r="C43" s="15" t="s">
        <v>20</v>
      </c>
      <c r="D43" s="15" t="s">
        <v>132</v>
      </c>
      <c r="E43" s="16" t="s">
        <v>177</v>
      </c>
      <c r="F43" s="13">
        <v>-7.2427699999999995E-4</v>
      </c>
      <c r="G43" s="13">
        <v>2.139312E-3</v>
      </c>
      <c r="H43" s="13">
        <v>8.5811159999999997E-3</v>
      </c>
      <c r="I43" s="13">
        <v>1.6969437E-2</v>
      </c>
      <c r="J43" s="13">
        <v>2.2289124E-2</v>
      </c>
      <c r="K43" s="13">
        <v>2.5757894E-2</v>
      </c>
      <c r="L43" s="13">
        <v>2.814699E-2</v>
      </c>
      <c r="M43" s="13">
        <v>-1.4651373000000001E-2</v>
      </c>
      <c r="N43" s="13">
        <v>-1.0877278000000001E-2</v>
      </c>
      <c r="O43" s="13">
        <v>-5.3303350000000003E-3</v>
      </c>
      <c r="P43" s="13">
        <v>1.773448E-3</v>
      </c>
      <c r="Q43" s="13">
        <v>7.1648930000000003E-3</v>
      </c>
      <c r="R43" s="13">
        <v>1.1007816E-2</v>
      </c>
      <c r="S43" s="13">
        <v>1.3855345E-2</v>
      </c>
      <c r="T43" s="13">
        <v>1.3499789E-2</v>
      </c>
      <c r="U43" s="13">
        <v>1.5295235000000001E-2</v>
      </c>
      <c r="V43" s="13">
        <v>2.2810659E-2</v>
      </c>
      <c r="W43" s="13">
        <v>3.2406998999999999E-2</v>
      </c>
      <c r="X43" s="13">
        <v>3.7622940000000001E-2</v>
      </c>
      <c r="Y43" s="13">
        <v>4.0747974999999999E-2</v>
      </c>
      <c r="Z43" s="13">
        <v>4.2550998999999999E-2</v>
      </c>
      <c r="AA43" s="13">
        <v>-7.2079589999999999E-3</v>
      </c>
      <c r="AB43" s="13">
        <v>-5.695706E-3</v>
      </c>
      <c r="AC43" s="13">
        <v>-2.4213310000000001E-3</v>
      </c>
      <c r="AD43" s="13">
        <v>3.0454119999999999E-3</v>
      </c>
      <c r="AE43" s="13">
        <v>7.8055650000000004E-3</v>
      </c>
      <c r="AF43" s="13">
        <v>1.2063119000000001E-2</v>
      </c>
      <c r="AG43" s="13">
        <v>1.4113825999999999E-2</v>
      </c>
      <c r="AH43" s="13">
        <v>5.8017490000000001E-3</v>
      </c>
      <c r="AI43" s="13">
        <v>1.0036069999999999E-2</v>
      </c>
      <c r="AJ43" s="13">
        <v>1.9704909999999999E-2</v>
      </c>
      <c r="AK43" s="13">
        <v>3.1086751999999999E-2</v>
      </c>
      <c r="AL43" s="13">
        <v>3.6980832999999998E-2</v>
      </c>
      <c r="AM43" s="13">
        <v>3.9637978999999997E-2</v>
      </c>
      <c r="AN43" s="13">
        <v>4.2374343000000002E-2</v>
      </c>
      <c r="AO43" s="13">
        <v>4.0222002999999999E-2</v>
      </c>
      <c r="AP43" s="14">
        <v>0.63530740200000002</v>
      </c>
      <c r="AQ43" s="14">
        <v>0.20154269</v>
      </c>
    </row>
    <row r="44" spans="1:43" hidden="1" x14ac:dyDescent="0.25">
      <c r="A44" s="15" t="s">
        <v>128</v>
      </c>
      <c r="B44" s="16" t="e">
        <f>VLOOKUP(Sheet1!D44,Sheet2!A41,1,FALSE)</f>
        <v>#N/A</v>
      </c>
      <c r="C44" s="15" t="s">
        <v>20</v>
      </c>
      <c r="D44" s="15" t="s">
        <v>133</v>
      </c>
      <c r="E44" s="16" t="s">
        <v>178</v>
      </c>
      <c r="F44" s="13">
        <v>-1.6823306999999999E-2</v>
      </c>
      <c r="G44" s="13">
        <v>-1.2238321999999999E-2</v>
      </c>
      <c r="H44" s="13">
        <v>-1.5944279999999999E-3</v>
      </c>
      <c r="I44" s="13">
        <v>1.2874897999999999E-2</v>
      </c>
      <c r="J44" s="13">
        <v>2.2405055E-2</v>
      </c>
      <c r="K44" s="13">
        <v>2.8753389000000001E-2</v>
      </c>
      <c r="L44" s="13">
        <v>3.3174782999999999E-2</v>
      </c>
      <c r="M44" s="13">
        <v>-4.8732047000000001E-2</v>
      </c>
      <c r="N44" s="13">
        <v>-4.2332412E-2</v>
      </c>
      <c r="O44" s="13">
        <v>-3.4442738000000001E-2</v>
      </c>
      <c r="P44" s="13">
        <v>-2.1949218E-2</v>
      </c>
      <c r="Q44" s="13">
        <v>-1.2142791E-2</v>
      </c>
      <c r="R44" s="13">
        <v>-5.0232549999999999E-3</v>
      </c>
      <c r="S44" s="13">
        <v>1.7708700000000001E-4</v>
      </c>
      <c r="T44" s="13">
        <v>1.6033220000000001E-2</v>
      </c>
      <c r="U44" s="13">
        <v>1.9074665000000001E-2</v>
      </c>
      <c r="V44" s="13">
        <v>3.1931629000000003E-2</v>
      </c>
      <c r="W44" s="13">
        <v>4.9387789000000001E-2</v>
      </c>
      <c r="X44" s="13">
        <v>5.8640835000000002E-2</v>
      </c>
      <c r="Y44" s="13">
        <v>6.4268930000000002E-2</v>
      </c>
      <c r="Z44" s="13">
        <v>6.7206906999999996E-2</v>
      </c>
      <c r="AA44" s="13">
        <v>-3.5671292E-2</v>
      </c>
      <c r="AB44" s="13">
        <v>-3.2941483000000001E-2</v>
      </c>
      <c r="AC44" s="13">
        <v>-2.8088425E-2</v>
      </c>
      <c r="AD44" s="13">
        <v>-1.9666523000000002E-2</v>
      </c>
      <c r="AE44" s="13">
        <v>-1.1100446E-2</v>
      </c>
      <c r="AF44" s="13">
        <v>-4.128563E-3</v>
      </c>
      <c r="AG44" s="13">
        <v>1.674804E-3</v>
      </c>
      <c r="AH44" s="13">
        <v>2.3930650000000002E-3</v>
      </c>
      <c r="AI44" s="13">
        <v>8.9080600000000006E-3</v>
      </c>
      <c r="AJ44" s="13">
        <v>2.5621787E-2</v>
      </c>
      <c r="AK44" s="13">
        <v>4.6496506999999999E-2</v>
      </c>
      <c r="AL44" s="13">
        <v>5.7045775999999999E-2</v>
      </c>
      <c r="AM44" s="13">
        <v>6.2721066000000006E-2</v>
      </c>
      <c r="AN44" s="13">
        <v>6.5665351999999996E-2</v>
      </c>
      <c r="AO44" s="13">
        <v>8.8186580000000001E-2</v>
      </c>
      <c r="AP44" s="14">
        <v>0.54363735899999999</v>
      </c>
      <c r="AQ44" s="14">
        <v>0.25993321600000002</v>
      </c>
    </row>
    <row r="45" spans="1:43" hidden="1" x14ac:dyDescent="0.25">
      <c r="A45" s="15" t="s">
        <v>128</v>
      </c>
      <c r="B45" s="16" t="e">
        <f>VLOOKUP(Sheet1!D45,Sheet2!A42,1,FALSE)</f>
        <v>#N/A</v>
      </c>
      <c r="C45" s="15" t="s">
        <v>20</v>
      </c>
      <c r="D45" s="15" t="s">
        <v>134</v>
      </c>
      <c r="E45" s="16" t="s">
        <v>142</v>
      </c>
      <c r="F45" s="13">
        <v>-6.3089060000000004E-3</v>
      </c>
      <c r="G45" s="13">
        <v>-3.5832070000000001E-3</v>
      </c>
      <c r="H45" s="13">
        <v>2.5266339999999998E-3</v>
      </c>
      <c r="I45" s="13">
        <v>1.0443163E-2</v>
      </c>
      <c r="J45" s="13">
        <v>1.5441032E-2</v>
      </c>
      <c r="K45" s="13">
        <v>1.8691566E-2</v>
      </c>
      <c r="L45" s="13">
        <v>2.0927384E-2</v>
      </c>
      <c r="M45" s="13">
        <v>-2.1878074000000001E-2</v>
      </c>
      <c r="N45" s="13">
        <v>-1.8073928E-2</v>
      </c>
      <c r="O45" s="13">
        <v>-1.1977046999999999E-2</v>
      </c>
      <c r="P45" s="13">
        <v>-4.5086960000000004E-3</v>
      </c>
      <c r="Q45" s="13">
        <v>9.2178200000000001E-4</v>
      </c>
      <c r="R45" s="13">
        <v>4.8822140000000002E-3</v>
      </c>
      <c r="S45" s="13">
        <v>7.7149899999999997E-3</v>
      </c>
      <c r="T45" s="13">
        <v>9.5812029999999999E-3</v>
      </c>
      <c r="U45" s="13">
        <v>1.1002675999999999E-2</v>
      </c>
      <c r="V45" s="13">
        <v>1.7312705000000001E-2</v>
      </c>
      <c r="W45" s="13">
        <v>2.5704468000000001E-2</v>
      </c>
      <c r="X45" s="13">
        <v>3.0206199E-2</v>
      </c>
      <c r="Y45" s="13">
        <v>3.2907577E-2</v>
      </c>
      <c r="Z45" s="13">
        <v>3.4233995000000003E-2</v>
      </c>
      <c r="AA45" s="13">
        <v>-1.5676487999999999E-2</v>
      </c>
      <c r="AB45" s="13">
        <v>-1.3388369000000001E-2</v>
      </c>
      <c r="AC45" s="13">
        <v>-9.3507999999999994E-3</v>
      </c>
      <c r="AD45" s="13">
        <v>-2.073231E-3</v>
      </c>
      <c r="AE45" s="13">
        <v>2.530614E-3</v>
      </c>
      <c r="AF45" s="13">
        <v>6.8095489999999998E-3</v>
      </c>
      <c r="AG45" s="13">
        <v>9.2289650000000004E-3</v>
      </c>
      <c r="AH45" s="13">
        <v>3.1478320000000001E-3</v>
      </c>
      <c r="AI45" s="13">
        <v>6.319402E-3</v>
      </c>
      <c r="AJ45" s="13">
        <v>1.4546472E-2</v>
      </c>
      <c r="AK45" s="13">
        <v>2.3116543999999999E-2</v>
      </c>
      <c r="AL45" s="13">
        <v>2.8517708999999999E-2</v>
      </c>
      <c r="AM45" s="13">
        <v>3.0713811000000001E-2</v>
      </c>
      <c r="AN45" s="13">
        <v>3.2761405E-2</v>
      </c>
      <c r="AO45" s="13">
        <v>4.1058623000000002E-2</v>
      </c>
      <c r="AP45" s="14">
        <v>0.84449256399999995</v>
      </c>
      <c r="AQ45" s="14">
        <v>-4.7552108000000003E-2</v>
      </c>
    </row>
    <row r="46" spans="1:43" hidden="1" x14ac:dyDescent="0.25">
      <c r="A46" s="15" t="s">
        <v>128</v>
      </c>
      <c r="B46" s="16" t="e">
        <f>VLOOKUP(Sheet1!D46,Sheet2!A43,1,FALSE)</f>
        <v>#N/A</v>
      </c>
      <c r="C46" s="15" t="s">
        <v>20</v>
      </c>
      <c r="D46" s="15" t="s">
        <v>135</v>
      </c>
      <c r="E46" s="16" t="s">
        <v>179</v>
      </c>
      <c r="F46" s="13">
        <v>3.0649150000000001E-3</v>
      </c>
      <c r="G46" s="13">
        <v>5.4147149999999996E-3</v>
      </c>
      <c r="H46" s="13">
        <v>1.0607867E-2</v>
      </c>
      <c r="I46" s="13">
        <v>1.7202346E-2</v>
      </c>
      <c r="J46" s="13">
        <v>2.1288647000000001E-2</v>
      </c>
      <c r="K46" s="13">
        <v>2.3917818E-2</v>
      </c>
      <c r="L46" s="13">
        <v>2.5716217E-2</v>
      </c>
      <c r="M46" s="13">
        <v>-2.7751675E-2</v>
      </c>
      <c r="N46" s="13">
        <v>-2.3768892E-2</v>
      </c>
      <c r="O46" s="13">
        <v>-2.0220720000000001E-2</v>
      </c>
      <c r="P46" s="13">
        <v>-1.5506933000000001E-2</v>
      </c>
      <c r="Q46" s="13">
        <v>-1.0941878E-2</v>
      </c>
      <c r="R46" s="13">
        <v>-7.3710920000000001E-3</v>
      </c>
      <c r="S46" s="13">
        <v>-4.657698E-3</v>
      </c>
      <c r="T46" s="13">
        <v>3.4630057999999998E-2</v>
      </c>
      <c r="U46" s="13">
        <v>3.5749303000000003E-2</v>
      </c>
      <c r="V46" s="13">
        <v>4.2527664999999999E-2</v>
      </c>
      <c r="W46" s="13">
        <v>5.0872320999999998E-2</v>
      </c>
      <c r="X46" s="13">
        <v>5.4789326999999999E-2</v>
      </c>
      <c r="Y46" s="13">
        <v>5.6174307E-2</v>
      </c>
      <c r="Z46" s="13">
        <v>5.6922120999999999E-2</v>
      </c>
      <c r="AA46" s="13">
        <v>-1.840292E-2</v>
      </c>
      <c r="AB46" s="13">
        <v>-1.7576366999999999E-2</v>
      </c>
      <c r="AC46" s="13">
        <v>-1.7106310999999999E-2</v>
      </c>
      <c r="AD46" s="13">
        <v>-1.2980877E-2</v>
      </c>
      <c r="AE46" s="13">
        <v>-9.0324199999999993E-3</v>
      </c>
      <c r="AF46" s="13">
        <v>-7.6114829999999996E-3</v>
      </c>
      <c r="AG46" s="13">
        <v>-4.2770739999999996E-3</v>
      </c>
      <c r="AH46" s="13">
        <v>2.5002257999999999E-2</v>
      </c>
      <c r="AI46" s="13">
        <v>2.8943844E-2</v>
      </c>
      <c r="AJ46" s="13">
        <v>3.9103487999999999E-2</v>
      </c>
      <c r="AK46" s="13">
        <v>4.8308615999999999E-2</v>
      </c>
      <c r="AL46" s="13">
        <v>5.2537462E-2</v>
      </c>
      <c r="AM46" s="13">
        <v>5.6448843999999998E-2</v>
      </c>
      <c r="AN46" s="13">
        <v>5.6612974000000003E-2</v>
      </c>
      <c r="AO46" s="13">
        <v>7.0677272999999999E-2</v>
      </c>
      <c r="AP46" s="14">
        <v>0.49463420000000002</v>
      </c>
      <c r="AQ46" s="14">
        <v>0.185236816</v>
      </c>
    </row>
    <row r="47" spans="1:43" hidden="1" x14ac:dyDescent="0.25">
      <c r="A47" s="15" t="s">
        <v>128</v>
      </c>
      <c r="B47" s="16" t="e">
        <f>VLOOKUP(Sheet1!D47,Sheet2!A44,1,FALSE)</f>
        <v>#N/A</v>
      </c>
      <c r="C47" s="15" t="s">
        <v>20</v>
      </c>
      <c r="D47" s="15" t="s">
        <v>116</v>
      </c>
      <c r="E47" s="16" t="s">
        <v>173</v>
      </c>
      <c r="F47" s="13">
        <v>-3.4359970000000001E-3</v>
      </c>
      <c r="G47" s="13">
        <v>-9.4581299999999999E-4</v>
      </c>
      <c r="H47" s="13">
        <v>4.5910480000000004E-3</v>
      </c>
      <c r="I47" s="13">
        <v>1.1683376000000001E-2</v>
      </c>
      <c r="J47" s="13">
        <v>1.6113997000000001E-2</v>
      </c>
      <c r="K47" s="13">
        <v>1.8978195999999999E-2</v>
      </c>
      <c r="L47" s="13">
        <v>2.0942137999999999E-2</v>
      </c>
      <c r="M47" s="13">
        <v>-1.5947012999999999E-2</v>
      </c>
      <c r="N47" s="13">
        <v>-1.1968662E-2</v>
      </c>
      <c r="O47" s="13">
        <v>-5.3678140000000003E-3</v>
      </c>
      <c r="P47" s="13">
        <v>2.5903369999999998E-3</v>
      </c>
      <c r="Q47" s="13">
        <v>7.5208430000000001E-3</v>
      </c>
      <c r="R47" s="13">
        <v>1.0966603E-2</v>
      </c>
      <c r="S47" s="13">
        <v>1.3486522000000001E-2</v>
      </c>
      <c r="T47" s="13">
        <v>9.1486050000000006E-3</v>
      </c>
      <c r="U47" s="13">
        <v>1.0122514000000001E-2</v>
      </c>
      <c r="V47" s="13">
        <v>1.4716496000000001E-2</v>
      </c>
      <c r="W47" s="13">
        <v>2.1144621999999998E-2</v>
      </c>
      <c r="X47" s="13">
        <v>2.4759252999999998E-2</v>
      </c>
      <c r="Y47" s="13">
        <v>2.7105876000000001E-2</v>
      </c>
      <c r="Z47" s="13">
        <v>2.8555329000000001E-2</v>
      </c>
      <c r="AA47" s="13">
        <v>-7.9065899999999998E-3</v>
      </c>
      <c r="AB47" s="13">
        <v>-5.7277049999999996E-3</v>
      </c>
      <c r="AC47" s="13">
        <v>-9.8995300000000001E-4</v>
      </c>
      <c r="AD47" s="13">
        <v>5.2075619999999998E-3</v>
      </c>
      <c r="AE47" s="13">
        <v>1.0024109999999999E-2</v>
      </c>
      <c r="AF47" s="13">
        <v>1.2850396E-2</v>
      </c>
      <c r="AG47" s="13">
        <v>1.5267671E-2</v>
      </c>
      <c r="AH47" s="13">
        <v>1.0547429999999999E-3</v>
      </c>
      <c r="AI47" s="13">
        <v>3.8590780000000002E-3</v>
      </c>
      <c r="AJ47" s="13">
        <v>1.0203228E-2</v>
      </c>
      <c r="AK47" s="13">
        <v>1.8200910000000001E-2</v>
      </c>
      <c r="AL47" s="13">
        <v>2.2240603000000001E-2</v>
      </c>
      <c r="AM47" s="13">
        <v>2.514307E-2</v>
      </c>
      <c r="AN47" s="13">
        <v>2.6648320999999999E-2</v>
      </c>
      <c r="AO47" s="13">
        <v>3.8451862000000003E-2</v>
      </c>
      <c r="AP47" s="14">
        <v>1</v>
      </c>
      <c r="AQ47" s="14">
        <v>-0.15804242600000001</v>
      </c>
    </row>
    <row r="48" spans="1:43" hidden="1" x14ac:dyDescent="0.25">
      <c r="A48" s="15" t="s">
        <v>128</v>
      </c>
      <c r="B48" s="16" t="e">
        <f>VLOOKUP(Sheet1!D48,Sheet2!A45,1,FALSE)</f>
        <v>#N/A</v>
      </c>
      <c r="C48" s="15" t="s">
        <v>20</v>
      </c>
      <c r="D48" s="15" t="s">
        <v>118</v>
      </c>
      <c r="E48" s="16" t="s">
        <v>126</v>
      </c>
      <c r="F48" s="13">
        <v>-1.658903E-3</v>
      </c>
      <c r="G48" s="13">
        <v>1.5496290000000001E-3</v>
      </c>
      <c r="H48" s="13">
        <v>8.8301730000000002E-3</v>
      </c>
      <c r="I48" s="13">
        <v>1.8425118000000001E-2</v>
      </c>
      <c r="J48" s="13">
        <v>2.4575776000000001E-2</v>
      </c>
      <c r="K48" s="13">
        <v>2.8610908000000001E-2</v>
      </c>
      <c r="L48" s="13">
        <v>3.1398839999999997E-2</v>
      </c>
      <c r="M48" s="13">
        <v>-1.9945313999999999E-2</v>
      </c>
      <c r="N48" s="13">
        <v>-1.4502831000000001E-2</v>
      </c>
      <c r="O48" s="13">
        <v>-6.2614350000000001E-3</v>
      </c>
      <c r="P48" s="13">
        <v>4.2286119999999996E-3</v>
      </c>
      <c r="Q48" s="13">
        <v>1.1112719E-2</v>
      </c>
      <c r="R48" s="13">
        <v>1.584696E-2</v>
      </c>
      <c r="S48" s="13">
        <v>1.9365579000000001E-2</v>
      </c>
      <c r="T48" s="13">
        <v>1.6754189999999999E-2</v>
      </c>
      <c r="U48" s="13">
        <v>1.7903764999999999E-2</v>
      </c>
      <c r="V48" s="13">
        <v>2.384942E-2</v>
      </c>
      <c r="W48" s="13">
        <v>3.2885667E-2</v>
      </c>
      <c r="X48" s="13">
        <v>3.8252328000000002E-2</v>
      </c>
      <c r="Y48" s="13">
        <v>4.1584428999999999E-2</v>
      </c>
      <c r="Z48" s="13">
        <v>4.3670173E-2</v>
      </c>
      <c r="AA48" s="13">
        <v>-8.6287369999999992E-3</v>
      </c>
      <c r="AB48" s="13">
        <v>-5.6876380000000001E-3</v>
      </c>
      <c r="AC48" s="13">
        <v>-1.0128099999999999E-4</v>
      </c>
      <c r="AD48" s="13">
        <v>7.9200699999999995E-3</v>
      </c>
      <c r="AE48" s="13">
        <v>1.3893107999999999E-2</v>
      </c>
      <c r="AF48" s="13">
        <v>1.8460308000000002E-2</v>
      </c>
      <c r="AG48" s="13">
        <v>2.1345321E-2</v>
      </c>
      <c r="AH48" s="13">
        <v>5.3599320000000004E-3</v>
      </c>
      <c r="AI48" s="13">
        <v>8.8395739999999993E-3</v>
      </c>
      <c r="AJ48" s="13">
        <v>1.7841405000000001E-2</v>
      </c>
      <c r="AK48" s="13">
        <v>2.9039654000000002E-2</v>
      </c>
      <c r="AL48" s="13">
        <v>3.5371E-2</v>
      </c>
      <c r="AM48" s="13">
        <v>3.8862675999999999E-2</v>
      </c>
      <c r="AN48" s="13">
        <v>4.1551320000000003E-2</v>
      </c>
      <c r="AO48" s="13">
        <v>5.6382882000000002E-2</v>
      </c>
      <c r="AP48" s="14">
        <v>0.65161280700000002</v>
      </c>
      <c r="AQ48" s="14">
        <v>0.149865364</v>
      </c>
    </row>
    <row r="49" spans="1:43" hidden="1" x14ac:dyDescent="0.25">
      <c r="A49" s="15" t="s">
        <v>128</v>
      </c>
      <c r="B49" s="16" t="e">
        <f>VLOOKUP(Sheet1!D49,Sheet2!A46,1,FALSE)</f>
        <v>#N/A</v>
      </c>
      <c r="C49" s="15" t="s">
        <v>20</v>
      </c>
      <c r="D49" s="15" t="s">
        <v>136</v>
      </c>
      <c r="E49" s="16" t="s">
        <v>143</v>
      </c>
      <c r="F49" s="13">
        <v>-4.5453200000000003E-3</v>
      </c>
      <c r="G49" s="13">
        <v>-1.5723670000000001E-3</v>
      </c>
      <c r="H49" s="13">
        <v>5.137071E-3</v>
      </c>
      <c r="I49" s="13">
        <v>1.3913217E-2</v>
      </c>
      <c r="J49" s="13">
        <v>1.9501404999999999E-2</v>
      </c>
      <c r="K49" s="13">
        <v>2.315364E-2</v>
      </c>
      <c r="L49" s="13">
        <v>2.567208E-2</v>
      </c>
      <c r="M49" s="13">
        <v>-2.0429946000000001E-2</v>
      </c>
      <c r="N49" s="13">
        <v>-1.6515954999999999E-2</v>
      </c>
      <c r="O49" s="13">
        <v>-1.0267945000000001E-2</v>
      </c>
      <c r="P49" s="13">
        <v>-2.3504200000000002E-3</v>
      </c>
      <c r="Q49" s="13">
        <v>3.2543630000000001E-3</v>
      </c>
      <c r="R49" s="13">
        <v>7.4723009999999998E-3</v>
      </c>
      <c r="S49" s="13">
        <v>1.066049E-2</v>
      </c>
      <c r="T49" s="13">
        <v>1.1634848E-2</v>
      </c>
      <c r="U49" s="13">
        <v>1.3602005E-2</v>
      </c>
      <c r="V49" s="13">
        <v>2.0709904000000001E-2</v>
      </c>
      <c r="W49" s="13">
        <v>3.0541769E-2</v>
      </c>
      <c r="X49" s="13">
        <v>3.5838465E-2</v>
      </c>
      <c r="Y49" s="13">
        <v>3.9190396000000002E-2</v>
      </c>
      <c r="Z49" s="13">
        <v>4.0928567999999999E-2</v>
      </c>
      <c r="AA49" s="13">
        <v>-1.3621885E-2</v>
      </c>
      <c r="AB49" s="13">
        <v>-1.1271813E-2</v>
      </c>
      <c r="AC49" s="13">
        <v>-6.9456259999999999E-3</v>
      </c>
      <c r="AD49" s="13">
        <v>-2.9868100000000002E-4</v>
      </c>
      <c r="AE49" s="13">
        <v>4.9094530000000003E-3</v>
      </c>
      <c r="AF49" s="13">
        <v>9.1747180000000001E-3</v>
      </c>
      <c r="AG49" s="13">
        <v>1.2243257E-2</v>
      </c>
      <c r="AH49" s="13">
        <v>4.6147660000000002E-3</v>
      </c>
      <c r="AI49" s="13">
        <v>8.222231E-3</v>
      </c>
      <c r="AJ49" s="13">
        <v>1.7366785999999999E-2</v>
      </c>
      <c r="AK49" s="13">
        <v>2.8327155999999999E-2</v>
      </c>
      <c r="AL49" s="13">
        <v>3.4305242E-2</v>
      </c>
      <c r="AM49" s="13">
        <v>3.7326195999999999E-2</v>
      </c>
      <c r="AN49" s="13">
        <v>3.9279056E-2</v>
      </c>
      <c r="AO49" s="13">
        <v>4.5227200000000002E-2</v>
      </c>
      <c r="AP49" s="14">
        <v>0.79003745299999995</v>
      </c>
      <c r="AQ49" s="14">
        <v>0.11327514499999999</v>
      </c>
    </row>
    <row r="50" spans="1:43" hidden="1" x14ac:dyDescent="0.25">
      <c r="A50" s="15" t="s">
        <v>128</v>
      </c>
      <c r="B50" s="16" t="e">
        <f>VLOOKUP(Sheet1!D50,Sheet2!A47,1,FALSE)</f>
        <v>#N/A</v>
      </c>
      <c r="C50" s="15" t="s">
        <v>20</v>
      </c>
      <c r="D50" s="15" t="s">
        <v>137</v>
      </c>
      <c r="E50" s="16" t="s">
        <v>144</v>
      </c>
      <c r="F50" s="13">
        <v>-1.9663729000000001E-2</v>
      </c>
      <c r="G50" s="13">
        <v>-1.5267770999999999E-2</v>
      </c>
      <c r="H50" s="13">
        <v>-5.0840210000000002E-3</v>
      </c>
      <c r="I50" s="13">
        <v>8.7207380000000004E-3</v>
      </c>
      <c r="J50" s="13">
        <v>1.7791010999999999E-2</v>
      </c>
      <c r="K50" s="13">
        <v>2.3824695999999999E-2</v>
      </c>
      <c r="L50" s="13">
        <v>2.8023856999999999E-2</v>
      </c>
      <c r="M50" s="13">
        <v>-5.1602256999999999E-2</v>
      </c>
      <c r="N50" s="13">
        <v>-4.5515081999999998E-2</v>
      </c>
      <c r="O50" s="13">
        <v>-3.6221652E-2</v>
      </c>
      <c r="P50" s="13">
        <v>-2.4133636E-2</v>
      </c>
      <c r="Q50" s="13">
        <v>-1.4587503999999999E-2</v>
      </c>
      <c r="R50" s="13">
        <v>-7.7452780000000004E-3</v>
      </c>
      <c r="S50" s="13">
        <v>-2.291534E-3</v>
      </c>
      <c r="T50" s="13">
        <v>1.3297979E-2</v>
      </c>
      <c r="U50" s="13">
        <v>1.5859320999999999E-2</v>
      </c>
      <c r="V50" s="13">
        <v>2.7158663999999999E-2</v>
      </c>
      <c r="W50" s="13">
        <v>4.2631994999999999E-2</v>
      </c>
      <c r="X50" s="13">
        <v>5.1358872E-2</v>
      </c>
      <c r="Y50" s="13">
        <v>5.6426807000000002E-2</v>
      </c>
      <c r="Z50" s="13">
        <v>5.9264623000000002E-2</v>
      </c>
      <c r="AA50" s="13">
        <v>-4.0237630000000003E-2</v>
      </c>
      <c r="AB50" s="13">
        <v>-3.6510212E-2</v>
      </c>
      <c r="AC50" s="13">
        <v>-3.1597427999999997E-2</v>
      </c>
      <c r="AD50" s="13">
        <v>-2.0939809E-2</v>
      </c>
      <c r="AE50" s="13">
        <v>-1.1336583000000001E-2</v>
      </c>
      <c r="AF50" s="13">
        <v>-4.215926E-3</v>
      </c>
      <c r="AG50" s="13">
        <v>7.4282700000000005E-4</v>
      </c>
      <c r="AH50" s="13">
        <v>1.3512050000000001E-3</v>
      </c>
      <c r="AI50" s="13">
        <v>6.4430110000000002E-3</v>
      </c>
      <c r="AJ50" s="13">
        <v>2.2155286999999999E-2</v>
      </c>
      <c r="AK50" s="13">
        <v>3.9279849999999998E-2</v>
      </c>
      <c r="AL50" s="13">
        <v>4.7776752999999998E-2</v>
      </c>
      <c r="AM50" s="13">
        <v>5.2654924999999998E-2</v>
      </c>
      <c r="AN50" s="13">
        <v>5.6048590000000002E-2</v>
      </c>
      <c r="AO50" s="13">
        <v>8.5755053999999997E-2</v>
      </c>
      <c r="AP50" s="14">
        <v>0.72710556500000001</v>
      </c>
      <c r="AQ50" s="14">
        <v>0.17763741699999999</v>
      </c>
    </row>
    <row r="51" spans="1:43" hidden="1" x14ac:dyDescent="0.25">
      <c r="A51" s="15" t="s">
        <v>128</v>
      </c>
      <c r="B51" s="16" t="e">
        <f>VLOOKUP(Sheet1!D51,Sheet2!A48,1,FALSE)</f>
        <v>#N/A</v>
      </c>
      <c r="C51" s="15" t="s">
        <v>20</v>
      </c>
      <c r="D51" s="15" t="s">
        <v>138</v>
      </c>
      <c r="E51" s="16" t="s">
        <v>145</v>
      </c>
      <c r="F51" s="13">
        <v>5.0758790000000002E-3</v>
      </c>
      <c r="G51" s="13">
        <v>6.8586469999999998E-3</v>
      </c>
      <c r="H51" s="13">
        <v>1.067742E-2</v>
      </c>
      <c r="I51" s="13">
        <v>1.5305512E-2</v>
      </c>
      <c r="J51" s="13">
        <v>1.8044920999999998E-2</v>
      </c>
      <c r="K51" s="13">
        <v>1.9759465E-2</v>
      </c>
      <c r="L51" s="13">
        <v>2.0915410999999998E-2</v>
      </c>
      <c r="M51" s="13">
        <v>4.9900919999999998E-3</v>
      </c>
      <c r="N51" s="13">
        <v>5.4862319999999997E-3</v>
      </c>
      <c r="O51" s="13">
        <v>7.9609490000000002E-3</v>
      </c>
      <c r="P51" s="13">
        <v>1.1910835E-2</v>
      </c>
      <c r="Q51" s="13">
        <v>1.4518303E-2</v>
      </c>
      <c r="R51" s="13">
        <v>1.6336931999999998E-2</v>
      </c>
      <c r="S51" s="13">
        <v>1.7647454999999999E-2</v>
      </c>
      <c r="T51" s="13">
        <v>5.1616730000000003E-3</v>
      </c>
      <c r="U51" s="13">
        <v>8.2329350000000003E-3</v>
      </c>
      <c r="V51" s="13">
        <v>1.3401213E-2</v>
      </c>
      <c r="W51" s="13">
        <v>1.8711578E-2</v>
      </c>
      <c r="X51" s="13">
        <v>2.1583798000000001E-2</v>
      </c>
      <c r="Y51" s="13">
        <v>2.3193524E-2</v>
      </c>
      <c r="Z51" s="13">
        <v>2.4193861000000001E-2</v>
      </c>
      <c r="AA51" s="13">
        <v>4.9811309999999998E-3</v>
      </c>
      <c r="AB51" s="13">
        <v>5.4727810000000003E-3</v>
      </c>
      <c r="AC51" s="13">
        <v>8.0230609999999997E-3</v>
      </c>
      <c r="AD51" s="13">
        <v>1.1681657999999999E-2</v>
      </c>
      <c r="AE51" s="13">
        <v>1.4449782E-2</v>
      </c>
      <c r="AF51" s="13">
        <v>1.6276209E-2</v>
      </c>
      <c r="AG51" s="13">
        <v>1.7684834999999999E-2</v>
      </c>
      <c r="AH51" s="13">
        <v>5.1706349999999998E-3</v>
      </c>
      <c r="AI51" s="13">
        <v>8.2464229999999993E-3</v>
      </c>
      <c r="AJ51" s="13">
        <v>1.3338769E-2</v>
      </c>
      <c r="AK51" s="13">
        <v>1.8942346999999998E-2</v>
      </c>
      <c r="AL51" s="13">
        <v>2.1652801999999999E-2</v>
      </c>
      <c r="AM51" s="13">
        <v>2.325466E-2</v>
      </c>
      <c r="AN51" s="13">
        <v>2.4156242000000001E-2</v>
      </c>
      <c r="AO51" s="13">
        <v>0</v>
      </c>
      <c r="AP51" s="14">
        <v>0</v>
      </c>
      <c r="AQ51" s="14">
        <v>0</v>
      </c>
    </row>
    <row r="52" spans="1:43" hidden="1" x14ac:dyDescent="0.25">
      <c r="A52" s="15" t="s">
        <v>128</v>
      </c>
      <c r="B52" s="16" t="e">
        <f>VLOOKUP(Sheet1!D52,Sheet2!A49,1,FALSE)</f>
        <v>#N/A</v>
      </c>
      <c r="C52" s="15" t="s">
        <v>20</v>
      </c>
      <c r="D52" s="15" t="s">
        <v>172</v>
      </c>
      <c r="E52" s="16" t="s">
        <v>166</v>
      </c>
      <c r="F52" s="13">
        <v>2.2739180000000001E-2</v>
      </c>
      <c r="G52" s="13">
        <v>2.3536147E-2</v>
      </c>
      <c r="H52" s="13">
        <v>2.4965015E-2</v>
      </c>
      <c r="I52" s="13">
        <v>2.6177885000000001E-2</v>
      </c>
      <c r="J52" s="13">
        <v>2.6582562000000001E-2</v>
      </c>
      <c r="K52" s="13">
        <v>2.6714478E-2</v>
      </c>
      <c r="L52" s="13">
        <v>2.6760399000000001E-2</v>
      </c>
      <c r="M52" s="13">
        <v>-1.1385360000000001E-2</v>
      </c>
      <c r="N52" s="13">
        <v>-6.7413719999999998E-3</v>
      </c>
      <c r="O52" s="13">
        <v>-3.504021E-3</v>
      </c>
      <c r="P52" s="13">
        <v>-1.370523E-3</v>
      </c>
      <c r="Q52" s="13">
        <v>1.8192100000000001E-4</v>
      </c>
      <c r="R52" s="13">
        <v>1.7234450000000001E-3</v>
      </c>
      <c r="S52" s="13">
        <v>3.193347E-3</v>
      </c>
      <c r="T52" s="13">
        <v>5.7842538999999998E-2</v>
      </c>
      <c r="U52" s="13">
        <v>5.4834804000000001E-2</v>
      </c>
      <c r="V52" s="13">
        <v>5.4378956999999999E-2</v>
      </c>
      <c r="W52" s="13">
        <v>5.4415344999999997E-2</v>
      </c>
      <c r="X52" s="13">
        <v>5.3491392999999998E-2</v>
      </c>
      <c r="Y52" s="13">
        <v>5.2297375E-2</v>
      </c>
      <c r="Z52" s="13">
        <v>5.1108178999999997E-2</v>
      </c>
      <c r="AA52" s="13">
        <v>6.1837940000000003E-3</v>
      </c>
      <c r="AB52" s="13">
        <v>6.001541E-3</v>
      </c>
      <c r="AC52" s="13">
        <v>5.8292600000000002E-3</v>
      </c>
      <c r="AD52" s="13">
        <v>5.2502579999999998E-3</v>
      </c>
      <c r="AE52" s="13">
        <v>4.5740260000000001E-3</v>
      </c>
      <c r="AF52" s="13">
        <v>5.2182560000000001E-3</v>
      </c>
      <c r="AG52" s="13">
        <v>6.0180520000000003E-3</v>
      </c>
      <c r="AH52" s="13">
        <v>3.9566962999999997E-2</v>
      </c>
      <c r="AI52" s="13">
        <v>4.1376380999999997E-2</v>
      </c>
      <c r="AJ52" s="13">
        <v>4.4464833000000002E-2</v>
      </c>
      <c r="AK52" s="13">
        <v>4.7541190999999997E-2</v>
      </c>
      <c r="AL52" s="13">
        <v>4.9073268000000003E-2</v>
      </c>
      <c r="AM52" s="13">
        <v>4.8670392E-2</v>
      </c>
      <c r="AN52" s="13">
        <v>4.7930417000000003E-2</v>
      </c>
      <c r="AO52" s="13">
        <v>9.6053725000000006E-2</v>
      </c>
      <c r="AP52" s="14">
        <v>0.26045016300000001</v>
      </c>
      <c r="AQ52" s="14">
        <v>-2.6628951000000001E-2</v>
      </c>
    </row>
    <row r="53" spans="1:43" hidden="1" x14ac:dyDescent="0.25">
      <c r="A53" s="15" t="s">
        <v>128</v>
      </c>
      <c r="B53" s="16" t="e">
        <f>VLOOKUP(Sheet1!D53,Sheet2!A50,1,FALSE)</f>
        <v>#N/A</v>
      </c>
      <c r="C53" s="15" t="s">
        <v>23</v>
      </c>
      <c r="D53" s="15" t="s">
        <v>64</v>
      </c>
      <c r="E53" s="16" t="s">
        <v>45</v>
      </c>
      <c r="F53" s="13">
        <v>0.121225737</v>
      </c>
      <c r="G53" s="13">
        <v>0.122825593</v>
      </c>
      <c r="H53" s="13">
        <v>0.126172373</v>
      </c>
      <c r="I53" s="13">
        <v>0.130078269</v>
      </c>
      <c r="J53" s="13">
        <v>0.132299213</v>
      </c>
      <c r="K53" s="13">
        <v>0.133653834</v>
      </c>
      <c r="L53" s="13">
        <v>0.13455446500000001</v>
      </c>
      <c r="M53" s="13">
        <v>-3.1098667999999999E-2</v>
      </c>
      <c r="N53" s="13">
        <v>-1.8790702999999999E-2</v>
      </c>
      <c r="O53" s="13">
        <v>-6.7538069999999997E-3</v>
      </c>
      <c r="P53" s="13">
        <v>6.9738600000000001E-3</v>
      </c>
      <c r="Q53" s="13">
        <v>1.7068338999999998E-2</v>
      </c>
      <c r="R53" s="13">
        <v>2.6013392999999999E-2</v>
      </c>
      <c r="S53" s="13">
        <v>3.3081671E-2</v>
      </c>
      <c r="T53" s="13">
        <v>0.29885666999999999</v>
      </c>
      <c r="U53" s="13">
        <v>0.28544937300000001</v>
      </c>
      <c r="V53" s="13">
        <v>0.27697154699999998</v>
      </c>
      <c r="W53" s="13">
        <v>0.26915797600000002</v>
      </c>
      <c r="X53" s="13">
        <v>0.26148985600000002</v>
      </c>
      <c r="Y53" s="13">
        <v>0.25241270999999998</v>
      </c>
      <c r="Z53" s="13">
        <v>0.24637320300000001</v>
      </c>
      <c r="AA53" s="13">
        <v>-1.4543387E-2</v>
      </c>
      <c r="AB53" s="13">
        <v>-1.037327E-3</v>
      </c>
      <c r="AC53" s="13">
        <v>1.3377352E-2</v>
      </c>
      <c r="AD53" s="13">
        <v>1.3388206E-2</v>
      </c>
      <c r="AE53" s="13">
        <v>2.3711538000000001E-2</v>
      </c>
      <c r="AF53" s="13">
        <v>3.2505759000000002E-2</v>
      </c>
      <c r="AG53" s="13">
        <v>3.9644620999999998E-2</v>
      </c>
      <c r="AH53" s="13">
        <v>0.27682289999999998</v>
      </c>
      <c r="AI53" s="13">
        <v>0.26295510100000002</v>
      </c>
      <c r="AJ53" s="13">
        <v>0.25225409999999998</v>
      </c>
      <c r="AK53" s="13">
        <v>0.26098802900000001</v>
      </c>
      <c r="AL53" s="13">
        <v>0.25306908299999997</v>
      </c>
      <c r="AM53" s="13">
        <v>0.245276891</v>
      </c>
      <c r="AN53" s="13">
        <v>0.238620727</v>
      </c>
      <c r="AO53" s="13">
        <v>0.26977037999999998</v>
      </c>
      <c r="AP53" s="14">
        <v>-0.21978122899999999</v>
      </c>
      <c r="AQ53" s="14">
        <v>0.79259198099999995</v>
      </c>
    </row>
    <row r="54" spans="1:43" hidden="1" x14ac:dyDescent="0.25">
      <c r="A54" s="15" t="s">
        <v>128</v>
      </c>
      <c r="B54" s="16" t="e">
        <f>VLOOKUP(Sheet1!D54,Sheet2!A51,1,FALSE)</f>
        <v>#N/A</v>
      </c>
      <c r="C54" s="15" t="s">
        <v>23</v>
      </c>
      <c r="D54" s="15" t="s">
        <v>65</v>
      </c>
      <c r="E54" s="16" t="s">
        <v>45</v>
      </c>
      <c r="F54" s="13">
        <v>2.8029933E-2</v>
      </c>
      <c r="G54" s="13">
        <v>3.0596101000000001E-2</v>
      </c>
      <c r="H54" s="13">
        <v>3.6306078999999998E-2</v>
      </c>
      <c r="I54" s="13">
        <v>4.3627768999999997E-2</v>
      </c>
      <c r="J54" s="13">
        <v>4.8206081999999997E-2</v>
      </c>
      <c r="K54" s="13">
        <v>5.1167405999999999E-2</v>
      </c>
      <c r="L54" s="13">
        <v>5.3198530000000001E-2</v>
      </c>
      <c r="M54" s="13">
        <v>-1.0708973E-2</v>
      </c>
      <c r="N54" s="13">
        <v>-4.918047E-3</v>
      </c>
      <c r="O54" s="13">
        <v>4.3996219999999997E-3</v>
      </c>
      <c r="P54" s="13">
        <v>1.4720409E-2</v>
      </c>
      <c r="Q54" s="13">
        <v>2.1864611999999999E-2</v>
      </c>
      <c r="R54" s="13">
        <v>2.6500546E-2</v>
      </c>
      <c r="S54" s="13">
        <v>3.0164294000000001E-2</v>
      </c>
      <c r="T54" s="13">
        <v>6.9184087000000005E-2</v>
      </c>
      <c r="U54" s="13">
        <v>6.6772335000000002E-2</v>
      </c>
      <c r="V54" s="13">
        <v>6.9623632000000005E-2</v>
      </c>
      <c r="W54" s="13">
        <v>7.3202831999999995E-2</v>
      </c>
      <c r="X54" s="13">
        <v>7.5393514999999994E-2</v>
      </c>
      <c r="Y54" s="13">
        <v>7.6238438000000006E-2</v>
      </c>
      <c r="Z54" s="13">
        <v>7.6885038000000003E-2</v>
      </c>
      <c r="AA54" s="13">
        <v>1.7026560000000001E-3</v>
      </c>
      <c r="AB54" s="13">
        <v>4.8932860000000002E-3</v>
      </c>
      <c r="AC54" s="13">
        <v>1.1587039E-2</v>
      </c>
      <c r="AD54" s="13">
        <v>2.0171424E-2</v>
      </c>
      <c r="AE54" s="13">
        <v>2.6514851999999998E-2</v>
      </c>
      <c r="AF54" s="13">
        <v>3.0681476999999999E-2</v>
      </c>
      <c r="AG54" s="13">
        <v>3.3190068000000003E-2</v>
      </c>
      <c r="AH54" s="13">
        <v>5.5055641000000002E-2</v>
      </c>
      <c r="AI54" s="13">
        <v>5.6962477999999997E-2</v>
      </c>
      <c r="AJ54" s="13">
        <v>6.1634755999999999E-2</v>
      </c>
      <c r="AK54" s="13">
        <v>6.7628395999999993E-2</v>
      </c>
      <c r="AL54" s="13">
        <v>7.0359858999999997E-2</v>
      </c>
      <c r="AM54" s="13">
        <v>7.2064221999999997E-2</v>
      </c>
      <c r="AN54" s="13">
        <v>7.3597989000000003E-2</v>
      </c>
      <c r="AO54" s="13">
        <v>9.8067216999999998E-2</v>
      </c>
      <c r="AP54" s="14">
        <v>0.22206785100000001</v>
      </c>
      <c r="AQ54" s="14">
        <v>0.59737346499999999</v>
      </c>
    </row>
    <row r="55" spans="1:43" hidden="1" x14ac:dyDescent="0.25">
      <c r="A55" s="15" t="s">
        <v>128</v>
      </c>
      <c r="B55" s="16" t="e">
        <f>VLOOKUP(Sheet1!D55,Sheet2!A52,1,FALSE)</f>
        <v>#N/A</v>
      </c>
      <c r="C55" s="15" t="s">
        <v>23</v>
      </c>
      <c r="D55" s="15" t="s">
        <v>24</v>
      </c>
      <c r="E55" s="16" t="s">
        <v>46</v>
      </c>
      <c r="F55" s="13">
        <v>5.1117330000000002E-3</v>
      </c>
      <c r="G55" s="13">
        <v>8.5881359999999997E-3</v>
      </c>
      <c r="H55" s="13">
        <v>1.6519384000000002E-2</v>
      </c>
      <c r="I55" s="13">
        <v>2.704987E-2</v>
      </c>
      <c r="J55" s="13">
        <v>3.3844760000000002E-2</v>
      </c>
      <c r="K55" s="13">
        <v>3.8319091E-2</v>
      </c>
      <c r="L55" s="13">
        <v>4.1416414999999998E-2</v>
      </c>
      <c r="M55" s="13">
        <v>-2.7540266000000001E-2</v>
      </c>
      <c r="N55" s="13">
        <v>-2.0762134000000002E-2</v>
      </c>
      <c r="O55" s="13">
        <v>-1.0395501E-2</v>
      </c>
      <c r="P55" s="13">
        <v>2.1664560000000002E-3</v>
      </c>
      <c r="Q55" s="13">
        <v>1.0440235000000001E-2</v>
      </c>
      <c r="R55" s="13">
        <v>1.6134091999999999E-2</v>
      </c>
      <c r="S55" s="13">
        <v>2.0556141E-2</v>
      </c>
      <c r="T55" s="13">
        <v>3.9080829999999997E-2</v>
      </c>
      <c r="U55" s="13">
        <v>3.8906172000000003E-2</v>
      </c>
      <c r="V55" s="13">
        <v>4.4082002000000002E-2</v>
      </c>
      <c r="W55" s="13">
        <v>5.2572236000000001E-2</v>
      </c>
      <c r="X55" s="13">
        <v>5.7936265000000001E-2</v>
      </c>
      <c r="Y55" s="13">
        <v>6.0905044999999998E-2</v>
      </c>
      <c r="Z55" s="13">
        <v>6.2748359000000004E-2</v>
      </c>
      <c r="AA55" s="13">
        <v>-1.3472385E-2</v>
      </c>
      <c r="AB55" s="13">
        <v>-9.5376109999999997E-3</v>
      </c>
      <c r="AC55" s="13">
        <v>-2.4273929999999999E-3</v>
      </c>
      <c r="AD55" s="13">
        <v>7.9952029999999993E-3</v>
      </c>
      <c r="AE55" s="13">
        <v>1.5205099E-2</v>
      </c>
      <c r="AF55" s="13">
        <v>1.9607263999999999E-2</v>
      </c>
      <c r="AG55" s="13">
        <v>2.3876900999999999E-2</v>
      </c>
      <c r="AH55" s="13">
        <v>2.4047721000000001E-2</v>
      </c>
      <c r="AI55" s="13">
        <v>2.7047273E-2</v>
      </c>
      <c r="AJ55" s="13">
        <v>3.5827827E-2</v>
      </c>
      <c r="AK55" s="13">
        <v>4.6466532999999997E-2</v>
      </c>
      <c r="AL55" s="13">
        <v>5.2828348999999997E-2</v>
      </c>
      <c r="AM55" s="13">
        <v>5.7376009999999998E-2</v>
      </c>
      <c r="AN55" s="13">
        <v>5.9257863000000001E-2</v>
      </c>
      <c r="AO55" s="13">
        <v>9.1340688000000003E-2</v>
      </c>
      <c r="AP55" s="14">
        <v>0.63387633099999996</v>
      </c>
      <c r="AQ55" s="14">
        <v>0.13719532200000001</v>
      </c>
    </row>
    <row r="56" spans="1:43" hidden="1" x14ac:dyDescent="0.25">
      <c r="A56" s="15" t="s">
        <v>128</v>
      </c>
      <c r="B56" s="16" t="e">
        <f>VLOOKUP(Sheet1!D56,Sheet2!A53,1,FALSE)</f>
        <v>#N/A</v>
      </c>
      <c r="C56" s="15" t="s">
        <v>23</v>
      </c>
      <c r="D56" s="15" t="s">
        <v>25</v>
      </c>
      <c r="E56" s="16" t="s">
        <v>45</v>
      </c>
      <c r="F56" s="13">
        <v>4.5007232000000001E-2</v>
      </c>
      <c r="G56" s="13">
        <v>4.6883312000000003E-2</v>
      </c>
      <c r="H56" s="13">
        <v>5.0914123999999998E-2</v>
      </c>
      <c r="I56" s="13">
        <v>5.5822009999999998E-2</v>
      </c>
      <c r="J56" s="13">
        <v>5.8740878000000003E-2</v>
      </c>
      <c r="K56" s="13">
        <v>6.0573145000000002E-2</v>
      </c>
      <c r="L56" s="13">
        <v>6.1810394999999997E-2</v>
      </c>
      <c r="M56" s="13">
        <v>1.1218267000000001E-2</v>
      </c>
      <c r="N56" s="13">
        <v>1.6132006000000001E-2</v>
      </c>
      <c r="O56" s="13">
        <v>2.3173653999999998E-2</v>
      </c>
      <c r="P56" s="13">
        <v>3.1217044999999999E-2</v>
      </c>
      <c r="Q56" s="13">
        <v>3.5591034000000001E-2</v>
      </c>
      <c r="R56" s="13">
        <v>3.9425833E-2</v>
      </c>
      <c r="S56" s="13">
        <v>4.1819718999999998E-2</v>
      </c>
      <c r="T56" s="13">
        <v>7.9712295000000002E-2</v>
      </c>
      <c r="U56" s="13">
        <v>7.8062833999999998E-2</v>
      </c>
      <c r="V56" s="13">
        <v>7.9359187999999997E-2</v>
      </c>
      <c r="W56" s="13">
        <v>8.1342872999999996E-2</v>
      </c>
      <c r="X56" s="13">
        <v>8.2290599000000006E-2</v>
      </c>
      <c r="Y56" s="13">
        <v>8.2518557000000006E-2</v>
      </c>
      <c r="Z56" s="13">
        <v>8.2236966999999994E-2</v>
      </c>
      <c r="AA56" s="13">
        <v>2.3243067999999999E-2</v>
      </c>
      <c r="AB56" s="13">
        <v>2.6214894999999998E-2</v>
      </c>
      <c r="AC56" s="13">
        <v>3.0514875E-2</v>
      </c>
      <c r="AD56" s="13">
        <v>3.6324047999999998E-2</v>
      </c>
      <c r="AE56" s="13">
        <v>3.9351917E-2</v>
      </c>
      <c r="AF56" s="13">
        <v>4.2595971000000003E-2</v>
      </c>
      <c r="AG56" s="13">
        <v>4.4600147999999999E-2</v>
      </c>
      <c r="AH56" s="13">
        <v>6.7239808999999998E-2</v>
      </c>
      <c r="AI56" s="13">
        <v>6.7972927000000002E-2</v>
      </c>
      <c r="AJ56" s="13">
        <v>7.1721937999999999E-2</v>
      </c>
      <c r="AK56" s="13">
        <v>7.5691117000000002E-2</v>
      </c>
      <c r="AL56" s="13">
        <v>7.8495762999999996E-2</v>
      </c>
      <c r="AM56" s="13">
        <v>7.8863902999999999E-2</v>
      </c>
      <c r="AN56" s="13">
        <v>7.9307483999999998E-2</v>
      </c>
      <c r="AO56" s="13">
        <v>8.2825141000000005E-2</v>
      </c>
      <c r="AP56" s="14">
        <v>0.22301188699999999</v>
      </c>
      <c r="AQ56" s="14">
        <v>0.59615795900000002</v>
      </c>
    </row>
    <row r="57" spans="1:43" hidden="1" x14ac:dyDescent="0.25">
      <c r="A57" s="15" t="s">
        <v>128</v>
      </c>
      <c r="B57" s="16" t="e">
        <f>VLOOKUP(Sheet1!D57,Sheet2!A54,1,FALSE)</f>
        <v>#N/A</v>
      </c>
      <c r="C57" s="15" t="s">
        <v>23</v>
      </c>
      <c r="D57" s="15" t="s">
        <v>26</v>
      </c>
      <c r="E57" s="16" t="s">
        <v>45</v>
      </c>
      <c r="F57" s="13">
        <v>5.5597899999999999E-2</v>
      </c>
      <c r="G57" s="13">
        <v>5.7451686000000002E-2</v>
      </c>
      <c r="H57" s="13">
        <v>6.1424805999999998E-2</v>
      </c>
      <c r="I57" s="13">
        <v>6.6244128999999999E-2</v>
      </c>
      <c r="J57" s="13">
        <v>6.9099259999999996E-2</v>
      </c>
      <c r="K57" s="13">
        <v>7.0887221E-2</v>
      </c>
      <c r="L57" s="13">
        <v>7.2093016999999995E-2</v>
      </c>
      <c r="M57" s="13">
        <v>-7.5981094999999998E-2</v>
      </c>
      <c r="N57" s="13">
        <v>-6.6012531999999999E-2</v>
      </c>
      <c r="O57" s="13">
        <v>-5.4216976E-2</v>
      </c>
      <c r="P57" s="13">
        <v>-3.9394751999999998E-2</v>
      </c>
      <c r="Q57" s="13">
        <v>-2.8267626000000001E-2</v>
      </c>
      <c r="R57" s="13">
        <v>-1.925818E-2</v>
      </c>
      <c r="S57" s="13">
        <v>-1.2324168E-2</v>
      </c>
      <c r="T57" s="13">
        <v>0.20356941200000001</v>
      </c>
      <c r="U57" s="13">
        <v>0.196926148</v>
      </c>
      <c r="V57" s="13">
        <v>0.19133307599999999</v>
      </c>
      <c r="W57" s="13">
        <v>0.182844061</v>
      </c>
      <c r="X57" s="13">
        <v>0.17662929799999999</v>
      </c>
      <c r="Y57" s="13">
        <v>0.16924540900000001</v>
      </c>
      <c r="Z57" s="13">
        <v>0.164530221</v>
      </c>
      <c r="AA57" s="13">
        <v>-6.6770931000000006E-2</v>
      </c>
      <c r="AB57" s="13">
        <v>-5.4473896000000001E-2</v>
      </c>
      <c r="AC57" s="13">
        <v>-4.6721409999999998E-2</v>
      </c>
      <c r="AD57" s="13">
        <v>-3.6791693E-2</v>
      </c>
      <c r="AE57" s="13">
        <v>-2.5882566999999999E-2</v>
      </c>
      <c r="AF57" s="13">
        <v>-2.1305971999999999E-2</v>
      </c>
      <c r="AG57" s="13">
        <v>-1.1242092E-2</v>
      </c>
      <c r="AH57" s="13">
        <v>0.19427438799999999</v>
      </c>
      <c r="AI57" s="13">
        <v>0.182839905</v>
      </c>
      <c r="AJ57" s="13">
        <v>0.18203598400000001</v>
      </c>
      <c r="AK57" s="13">
        <v>0.180476254</v>
      </c>
      <c r="AL57" s="13">
        <v>0.17348719700000001</v>
      </c>
      <c r="AM57" s="13">
        <v>0.17190038099999999</v>
      </c>
      <c r="AN57" s="13">
        <v>0.16256005100000001</v>
      </c>
      <c r="AO57" s="13">
        <v>0.157776001</v>
      </c>
      <c r="AP57" s="14">
        <v>8.1009716999999995E-2</v>
      </c>
      <c r="AQ57" s="14">
        <v>0.52472193</v>
      </c>
    </row>
    <row r="58" spans="1:43" hidden="1" x14ac:dyDescent="0.25">
      <c r="A58" s="15" t="s">
        <v>128</v>
      </c>
      <c r="B58" s="16" t="e">
        <f>VLOOKUP(Sheet1!D58,Sheet2!A55,1,FALSE)</f>
        <v>#N/A</v>
      </c>
      <c r="C58" s="15" t="s">
        <v>23</v>
      </c>
      <c r="D58" s="15" t="s">
        <v>27</v>
      </c>
      <c r="E58" s="16" t="s">
        <v>47</v>
      </c>
      <c r="F58" s="13">
        <v>4.1312419000000003E-2</v>
      </c>
      <c r="G58" s="13">
        <v>4.3340065999999997E-2</v>
      </c>
      <c r="H58" s="13">
        <v>4.7743567000000001E-2</v>
      </c>
      <c r="I58" s="13">
        <v>5.3193353999999998E-2</v>
      </c>
      <c r="J58" s="13">
        <v>5.6487788999999997E-2</v>
      </c>
      <c r="K58" s="13">
        <v>5.8576530000000002E-2</v>
      </c>
      <c r="L58" s="13">
        <v>5.9994387000000003E-2</v>
      </c>
      <c r="M58" s="13">
        <v>2.8754079999999999E-3</v>
      </c>
      <c r="N58" s="13">
        <v>7.8586590000000005E-3</v>
      </c>
      <c r="O58" s="13">
        <v>1.4864211E-2</v>
      </c>
      <c r="P58" s="13">
        <v>2.3560424999999999E-2</v>
      </c>
      <c r="Q58" s="13">
        <v>2.8950105E-2</v>
      </c>
      <c r="R58" s="13">
        <v>3.3129771000000002E-2</v>
      </c>
      <c r="S58" s="13">
        <v>3.6311518000000001E-2</v>
      </c>
      <c r="T58" s="13">
        <v>8.1433751999999998E-2</v>
      </c>
      <c r="U58" s="13">
        <v>8.0309283999999995E-2</v>
      </c>
      <c r="V58" s="13">
        <v>8.1569909999999995E-2</v>
      </c>
      <c r="W58" s="13">
        <v>8.3760633000000001E-2</v>
      </c>
      <c r="X58" s="13">
        <v>8.4857155000000004E-2</v>
      </c>
      <c r="Y58" s="13">
        <v>8.4844049000000005E-2</v>
      </c>
      <c r="Z58" s="13">
        <v>8.4282692000000006E-2</v>
      </c>
      <c r="AA58" s="13">
        <v>1.0025164E-2</v>
      </c>
      <c r="AB58" s="13">
        <v>1.3360395000000001E-2</v>
      </c>
      <c r="AC58" s="13">
        <v>1.8689580000000001E-2</v>
      </c>
      <c r="AD58" s="13">
        <v>2.6309973E-2</v>
      </c>
      <c r="AE58" s="13">
        <v>3.1463153000000001E-2</v>
      </c>
      <c r="AF58" s="13">
        <v>3.5015226000000003E-2</v>
      </c>
      <c r="AG58" s="13">
        <v>3.9047687999999997E-2</v>
      </c>
      <c r="AH58" s="13">
        <v>7.3588430999999996E-2</v>
      </c>
      <c r="AI58" s="13">
        <v>7.4224525999999999E-2</v>
      </c>
      <c r="AJ58" s="13">
        <v>7.7642799999999998E-2</v>
      </c>
      <c r="AK58" s="13">
        <v>8.0794919000000007E-2</v>
      </c>
      <c r="AL58" s="13">
        <v>8.2131560000000006E-2</v>
      </c>
      <c r="AM58" s="13">
        <v>8.2684761999999995E-2</v>
      </c>
      <c r="AN58" s="13">
        <v>8.1371648000000005E-2</v>
      </c>
      <c r="AO58" s="13">
        <v>7.4110272000000005E-2</v>
      </c>
      <c r="AP58" s="14">
        <v>-0.290656476</v>
      </c>
      <c r="AQ58" s="14">
        <v>0.64164057399999996</v>
      </c>
    </row>
    <row r="59" spans="1:43" hidden="1" x14ac:dyDescent="0.25">
      <c r="A59" s="15" t="s">
        <v>128</v>
      </c>
      <c r="B59" s="16" t="e">
        <f>VLOOKUP(Sheet1!D59,Sheet2!A56,1,FALSE)</f>
        <v>#N/A</v>
      </c>
      <c r="C59" s="15" t="s">
        <v>23</v>
      </c>
      <c r="D59" s="15" t="s">
        <v>195</v>
      </c>
      <c r="E59" s="16" t="s">
        <v>45</v>
      </c>
      <c r="F59" s="13">
        <v>5.2417178000000002E-2</v>
      </c>
      <c r="G59" s="13">
        <v>5.3455093000000002E-2</v>
      </c>
      <c r="H59" s="13">
        <v>5.5455396999999997E-2</v>
      </c>
      <c r="I59" s="13">
        <v>5.7463379000000002E-2</v>
      </c>
      <c r="J59" s="13">
        <v>5.8400344E-2</v>
      </c>
      <c r="K59" s="13">
        <v>5.8889155999999998E-2</v>
      </c>
      <c r="L59" s="13">
        <v>5.9184030999999998E-2</v>
      </c>
      <c r="M59" s="13">
        <v>2.983107E-3</v>
      </c>
      <c r="N59" s="13">
        <v>8.1341509999999992E-3</v>
      </c>
      <c r="O59" s="13">
        <v>1.1323318000000001E-2</v>
      </c>
      <c r="P59" s="13">
        <v>1.5251700999999999E-2</v>
      </c>
      <c r="Q59" s="13">
        <v>1.8492319E-2</v>
      </c>
      <c r="R59" s="13">
        <v>2.1842957E-2</v>
      </c>
      <c r="S59" s="13">
        <v>2.3902929999999999E-2</v>
      </c>
      <c r="T59" s="13">
        <v>0.104163009</v>
      </c>
      <c r="U59" s="13">
        <v>0.101527772</v>
      </c>
      <c r="V59" s="13">
        <v>0.100854231</v>
      </c>
      <c r="W59" s="13">
        <v>0.10102433</v>
      </c>
      <c r="X59" s="13">
        <v>9.9653565E-2</v>
      </c>
      <c r="Y59" s="13">
        <v>9.7536282000000002E-2</v>
      </c>
      <c r="Z59" s="13">
        <v>9.5759530999999995E-2</v>
      </c>
      <c r="AA59" s="13">
        <v>1.5138972000000001E-2</v>
      </c>
      <c r="AB59" s="13">
        <v>1.6110894000000001E-2</v>
      </c>
      <c r="AC59" s="13">
        <v>1.6977802E-2</v>
      </c>
      <c r="AD59" s="13">
        <v>1.8993831999999999E-2</v>
      </c>
      <c r="AE59" s="13">
        <v>1.8605258E-2</v>
      </c>
      <c r="AF59" s="13">
        <v>2.2046525000000001E-2</v>
      </c>
      <c r="AG59" s="13">
        <v>2.3680037000000001E-2</v>
      </c>
      <c r="AH59" s="13">
        <v>9.1076980000000002E-2</v>
      </c>
      <c r="AI59" s="13">
        <v>9.2184451000000001E-2</v>
      </c>
      <c r="AJ59" s="13">
        <v>9.5402238E-2</v>
      </c>
      <c r="AK59" s="13">
        <v>9.7398636999999996E-2</v>
      </c>
      <c r="AL59" s="13">
        <v>9.9764480000000003E-2</v>
      </c>
      <c r="AM59" s="13">
        <v>9.7072083000000003E-2</v>
      </c>
      <c r="AN59" s="13">
        <v>9.5930689E-2</v>
      </c>
      <c r="AO59" s="13">
        <v>0.112383155</v>
      </c>
      <c r="AP59" s="14">
        <v>0.23306764999999999</v>
      </c>
      <c r="AQ59" s="14">
        <v>0.506094767</v>
      </c>
    </row>
    <row r="60" spans="1:43" hidden="1" x14ac:dyDescent="0.25">
      <c r="A60" s="15" t="s">
        <v>128</v>
      </c>
      <c r="B60" s="16" t="e">
        <f>VLOOKUP(Sheet1!D60,Sheet2!A57,1,FALSE)</f>
        <v>#N/A</v>
      </c>
      <c r="C60" s="15" t="s">
        <v>23</v>
      </c>
      <c r="D60" s="15" t="s">
        <v>28</v>
      </c>
      <c r="E60" s="16" t="s">
        <v>45</v>
      </c>
      <c r="F60" s="13">
        <v>6.9770878999999994E-2</v>
      </c>
      <c r="G60" s="13">
        <v>7.1372618999999998E-2</v>
      </c>
      <c r="H60" s="13">
        <v>7.4734053999999994E-2</v>
      </c>
      <c r="I60" s="13">
        <v>7.8677575999999999E-2</v>
      </c>
      <c r="J60" s="13">
        <v>8.0932815000000005E-2</v>
      </c>
      <c r="K60" s="13">
        <v>8.2313575999999999E-2</v>
      </c>
      <c r="L60" s="13">
        <v>8.3233496000000004E-2</v>
      </c>
      <c r="M60" s="13">
        <v>1.5251199E-2</v>
      </c>
      <c r="N60" s="13">
        <v>2.0280577000000001E-2</v>
      </c>
      <c r="O60" s="13">
        <v>2.6041110999999999E-2</v>
      </c>
      <c r="P60" s="13">
        <v>3.1863863999999999E-2</v>
      </c>
      <c r="Q60" s="13">
        <v>3.5998468999999998E-2</v>
      </c>
      <c r="R60" s="13">
        <v>3.9309311E-2</v>
      </c>
      <c r="S60" s="13">
        <v>4.1936357E-2</v>
      </c>
      <c r="T60" s="13">
        <v>0.128211565</v>
      </c>
      <c r="U60" s="13">
        <v>0.12532953999999999</v>
      </c>
      <c r="V60" s="13">
        <v>0.12596839700000001</v>
      </c>
      <c r="W60" s="13">
        <v>0.127596023</v>
      </c>
      <c r="X60" s="13">
        <v>0.12795970600000001</v>
      </c>
      <c r="Y60" s="13">
        <v>0.12757031899999999</v>
      </c>
      <c r="Z60" s="13">
        <v>0.126419161</v>
      </c>
      <c r="AA60" s="13">
        <v>2.8590866E-2</v>
      </c>
      <c r="AB60" s="13">
        <v>3.3979351999999997E-2</v>
      </c>
      <c r="AC60" s="13">
        <v>3.5418974999999998E-2</v>
      </c>
      <c r="AD60" s="13">
        <v>3.8740183999999997E-2</v>
      </c>
      <c r="AE60" s="13">
        <v>3.9513594999999999E-2</v>
      </c>
      <c r="AF60" s="13">
        <v>4.1499794999999999E-2</v>
      </c>
      <c r="AG60" s="13">
        <v>4.4078760000000002E-2</v>
      </c>
      <c r="AH60" s="13">
        <v>0.112640623</v>
      </c>
      <c r="AI60" s="13">
        <v>0.11015169700000001</v>
      </c>
      <c r="AJ60" s="13">
        <v>0.11557889</v>
      </c>
      <c r="AK60" s="13">
        <v>0.120188345</v>
      </c>
      <c r="AL60" s="13">
        <v>0.124043072</v>
      </c>
      <c r="AM60" s="13">
        <v>0.124766129</v>
      </c>
      <c r="AN60" s="13">
        <v>0.123892638</v>
      </c>
      <c r="AO60" s="13">
        <v>0.122307607</v>
      </c>
      <c r="AP60" s="14">
        <v>-0.12752459499999999</v>
      </c>
      <c r="AQ60" s="14">
        <v>0.65512745999999999</v>
      </c>
    </row>
    <row r="61" spans="1:43" hidden="1" x14ac:dyDescent="0.25">
      <c r="A61" s="15" t="s">
        <v>110</v>
      </c>
      <c r="B61" s="16" t="e">
        <f>VLOOKUP(Sheet1!D61,Sheet2!A58,1,FALSE)</f>
        <v>#N/A</v>
      </c>
      <c r="C61" s="15" t="s">
        <v>15</v>
      </c>
      <c r="D61" s="15" t="s">
        <v>17</v>
      </c>
      <c r="E61" s="16" t="s">
        <v>29</v>
      </c>
      <c r="F61" s="13">
        <v>6.3954119000000004E-2</v>
      </c>
      <c r="G61" s="13">
        <v>6.4739067999999997E-2</v>
      </c>
      <c r="H61" s="13">
        <v>6.6103117000000003E-2</v>
      </c>
      <c r="I61" s="13">
        <v>6.7168906E-2</v>
      </c>
      <c r="J61" s="13">
        <v>6.7447801000000002E-2</v>
      </c>
      <c r="K61" s="13">
        <v>6.7486911999999996E-2</v>
      </c>
      <c r="L61" s="13">
        <v>6.7465522E-2</v>
      </c>
      <c r="M61" s="13">
        <v>1.3142679999999999E-3</v>
      </c>
      <c r="N61" s="13">
        <v>7.2426330000000001E-3</v>
      </c>
      <c r="O61" s="13">
        <v>1.1269616999999999E-2</v>
      </c>
      <c r="P61" s="13">
        <v>1.3545477E-2</v>
      </c>
      <c r="Q61" s="13">
        <v>1.6415763999999999E-2</v>
      </c>
      <c r="R61" s="13">
        <v>1.9092907999999999E-2</v>
      </c>
      <c r="S61" s="13">
        <v>2.1731364999999999E-2</v>
      </c>
      <c r="T61" s="13">
        <v>0.130411639</v>
      </c>
      <c r="U61" s="13">
        <v>0.125641525</v>
      </c>
      <c r="V61" s="13">
        <v>0.123492412</v>
      </c>
      <c r="W61" s="13">
        <v>0.12358646</v>
      </c>
      <c r="X61" s="13">
        <v>0.120108851</v>
      </c>
      <c r="Y61" s="13">
        <v>0.11769325</v>
      </c>
      <c r="Z61" s="13">
        <v>0.11515370599999999</v>
      </c>
      <c r="AA61" s="13">
        <v>2.8825192999999999E-2</v>
      </c>
      <c r="AB61" s="13">
        <v>3.0405003E-2</v>
      </c>
      <c r="AC61" s="13">
        <v>2.7032686E-2</v>
      </c>
      <c r="AD61" s="13">
        <v>2.5516191000000001E-2</v>
      </c>
      <c r="AE61" s="13">
        <v>2.4668611E-2</v>
      </c>
      <c r="AF61" s="13">
        <v>2.7159577000000001E-2</v>
      </c>
      <c r="AG61" s="13">
        <v>2.9101948999999998E-2</v>
      </c>
      <c r="AH61" s="13">
        <v>0.100282511</v>
      </c>
      <c r="AI61" s="13">
        <v>0.100217189</v>
      </c>
      <c r="AJ61" s="13">
        <v>0.10665986700000001</v>
      </c>
      <c r="AK61" s="13">
        <v>0.110513422</v>
      </c>
      <c r="AL61" s="13">
        <v>0.11201299200000001</v>
      </c>
      <c r="AM61" s="13">
        <v>0.10939754</v>
      </c>
      <c r="AN61" s="13">
        <v>0.107259243</v>
      </c>
      <c r="AO61" s="13">
        <v>0.17011479500000001</v>
      </c>
      <c r="AP61" s="14">
        <v>-0.29612842299999997</v>
      </c>
      <c r="AQ61" s="14">
        <v>0.86132067400000001</v>
      </c>
    </row>
    <row r="62" spans="1:43" hidden="1" x14ac:dyDescent="0.25">
      <c r="A62" s="15" t="s">
        <v>110</v>
      </c>
      <c r="B62" s="16" t="e">
        <f>VLOOKUP(Sheet1!D62,Sheet2!A59,1,FALSE)</f>
        <v>#N/A</v>
      </c>
      <c r="C62" s="15" t="s">
        <v>15</v>
      </c>
      <c r="D62" s="15" t="s">
        <v>192</v>
      </c>
      <c r="E62" s="16" t="s">
        <v>30</v>
      </c>
      <c r="F62" s="13">
        <v>3.9726516000000003E-2</v>
      </c>
      <c r="G62" s="13">
        <v>4.1845883E-2</v>
      </c>
      <c r="H62" s="13">
        <v>4.6446675999999999E-2</v>
      </c>
      <c r="I62" s="13">
        <v>5.2141232000000003E-2</v>
      </c>
      <c r="J62" s="13">
        <v>5.5586477000000002E-2</v>
      </c>
      <c r="K62" s="13">
        <v>5.7772789999999997E-2</v>
      </c>
      <c r="L62" s="13">
        <v>5.9257799E-2</v>
      </c>
      <c r="M62" s="13">
        <v>-2.3066772999999999E-2</v>
      </c>
      <c r="N62" s="13">
        <v>-1.3381255999999999E-2</v>
      </c>
      <c r="O62" s="13">
        <v>-3.027957E-3</v>
      </c>
      <c r="P62" s="13">
        <v>7.8808179999999995E-3</v>
      </c>
      <c r="Q62" s="13">
        <v>1.4933001E-2</v>
      </c>
      <c r="R62" s="13">
        <v>2.0459231000000001E-2</v>
      </c>
      <c r="S62" s="13">
        <v>2.4710163E-2</v>
      </c>
      <c r="T62" s="13">
        <v>0.107090751</v>
      </c>
      <c r="U62" s="13">
        <v>0.100132504</v>
      </c>
      <c r="V62" s="13">
        <v>9.8340942000000001E-2</v>
      </c>
      <c r="W62" s="13">
        <v>9.8272253000000004E-2</v>
      </c>
      <c r="X62" s="13">
        <v>9.7158456000000004E-2</v>
      </c>
      <c r="Y62" s="13">
        <v>9.6010417000000001E-2</v>
      </c>
      <c r="Z62" s="13">
        <v>9.4698745000000001E-2</v>
      </c>
      <c r="AA62" s="13">
        <v>7.6878090000000003E-3</v>
      </c>
      <c r="AB62" s="13">
        <v>1.1340154E-2</v>
      </c>
      <c r="AC62" s="13">
        <v>1.5657345E-2</v>
      </c>
      <c r="AD62" s="13">
        <v>2.2757764E-2</v>
      </c>
      <c r="AE62" s="13">
        <v>2.7759939000000001E-2</v>
      </c>
      <c r="AF62" s="13">
        <v>3.0843672999999999E-2</v>
      </c>
      <c r="AG62" s="13">
        <v>3.4216732E-2</v>
      </c>
      <c r="AH62" s="13">
        <v>7.2783871E-2</v>
      </c>
      <c r="AI62" s="13">
        <v>7.3271777999999996E-2</v>
      </c>
      <c r="AJ62" s="13">
        <v>7.8169380999999996E-2</v>
      </c>
      <c r="AK62" s="13">
        <v>8.2368883000000004E-2</v>
      </c>
      <c r="AL62" s="13">
        <v>8.4166416999999993E-2</v>
      </c>
      <c r="AM62" s="13">
        <v>8.5405386999999999E-2</v>
      </c>
      <c r="AN62" s="13">
        <v>8.4905175999999999E-2</v>
      </c>
      <c r="AO62" s="13">
        <v>0.17876325100000001</v>
      </c>
      <c r="AP62" s="14">
        <v>-0.30393833100000001</v>
      </c>
      <c r="AQ62" s="14">
        <v>0.82346939100000005</v>
      </c>
    </row>
    <row r="63" spans="1:43" hidden="1" x14ac:dyDescent="0.25">
      <c r="A63" s="15" t="s">
        <v>110</v>
      </c>
      <c r="B63" s="16" t="e">
        <f>VLOOKUP(Sheet1!D63,Sheet2!A60,1,FALSE)</f>
        <v>#N/A</v>
      </c>
      <c r="C63" s="15" t="s">
        <v>15</v>
      </c>
      <c r="D63" s="15" t="s">
        <v>18</v>
      </c>
      <c r="E63" s="16" t="s">
        <v>31</v>
      </c>
      <c r="F63" s="13">
        <v>5.2362284000000002E-2</v>
      </c>
      <c r="G63" s="13">
        <v>5.4920653E-2</v>
      </c>
      <c r="H63" s="13">
        <v>6.0578843E-2</v>
      </c>
      <c r="I63" s="13">
        <v>6.7775608000000001E-2</v>
      </c>
      <c r="J63" s="13">
        <v>7.2244525000000004E-2</v>
      </c>
      <c r="K63" s="13">
        <v>7.5124303000000003E-2</v>
      </c>
      <c r="L63" s="13">
        <v>7.7095922999999997E-2</v>
      </c>
      <c r="M63" s="13">
        <v>-1.8188596000000001E-2</v>
      </c>
      <c r="N63" s="13">
        <v>-6.4973510000000002E-3</v>
      </c>
      <c r="O63" s="13">
        <v>5.7955020000000001E-3</v>
      </c>
      <c r="P63" s="13">
        <v>1.9870730999999999E-2</v>
      </c>
      <c r="Q63" s="13">
        <v>2.9126916999999999E-2</v>
      </c>
      <c r="R63" s="13">
        <v>3.5159798999999999E-2</v>
      </c>
      <c r="S63" s="13">
        <v>3.9794753000000002E-2</v>
      </c>
      <c r="T63" s="13">
        <v>0.12795348500000001</v>
      </c>
      <c r="U63" s="13">
        <v>0.120398538</v>
      </c>
      <c r="V63" s="13">
        <v>0.117902121</v>
      </c>
      <c r="W63" s="13">
        <v>0.118021718</v>
      </c>
      <c r="X63" s="13">
        <v>0.11699849499999999</v>
      </c>
      <c r="Y63" s="13">
        <v>0.116634484</v>
      </c>
      <c r="Z63" s="13">
        <v>0.115901211</v>
      </c>
      <c r="AA63" s="13">
        <v>1.9904936000000002E-2</v>
      </c>
      <c r="AB63" s="13">
        <v>2.4134949999999999E-2</v>
      </c>
      <c r="AC63" s="13">
        <v>2.9544635E-2</v>
      </c>
      <c r="AD63" s="13">
        <v>3.8057303000000001E-2</v>
      </c>
      <c r="AE63" s="13">
        <v>4.4687777999999997E-2</v>
      </c>
      <c r="AF63" s="13">
        <v>4.9408121999999999E-2</v>
      </c>
      <c r="AG63" s="13">
        <v>5.3084815E-2</v>
      </c>
      <c r="AH63" s="13">
        <v>8.5852550999999999E-2</v>
      </c>
      <c r="AI63" s="13">
        <v>8.6631781000000005E-2</v>
      </c>
      <c r="AJ63" s="13">
        <v>9.2548535000000001E-2</v>
      </c>
      <c r="AK63" s="13">
        <v>9.8344712000000001E-2</v>
      </c>
      <c r="AL63" s="13">
        <v>0.100528179</v>
      </c>
      <c r="AM63" s="13">
        <v>0.101470677</v>
      </c>
      <c r="AN63" s="13">
        <v>0.101654516</v>
      </c>
      <c r="AO63" s="13">
        <v>0.20729562600000001</v>
      </c>
      <c r="AP63" s="14">
        <v>-0.24865717400000001</v>
      </c>
      <c r="AQ63" s="14">
        <v>0.68451754600000003</v>
      </c>
    </row>
    <row r="64" spans="1:43" hidden="1" x14ac:dyDescent="0.25">
      <c r="A64" s="15" t="s">
        <v>110</v>
      </c>
      <c r="B64" s="16" t="e">
        <f>VLOOKUP(Sheet1!D64,Sheet2!A61,1,FALSE)</f>
        <v>#N/A</v>
      </c>
      <c r="C64" s="15" t="s">
        <v>15</v>
      </c>
      <c r="D64" s="15" t="s">
        <v>111</v>
      </c>
      <c r="E64" s="16" t="s">
        <v>120</v>
      </c>
      <c r="F64" s="13">
        <v>4.8874846E-2</v>
      </c>
      <c r="G64" s="13">
        <v>4.9464402999999997E-2</v>
      </c>
      <c r="H64" s="13">
        <v>5.0364951999999998E-2</v>
      </c>
      <c r="I64" s="13">
        <v>5.0785889000000001E-2</v>
      </c>
      <c r="J64" s="13">
        <v>5.0633242000000002E-2</v>
      </c>
      <c r="K64" s="13">
        <v>5.0383126E-2</v>
      </c>
      <c r="L64" s="13">
        <v>5.0160063999999997E-2</v>
      </c>
      <c r="M64" s="13">
        <v>-8.3566279999999996E-3</v>
      </c>
      <c r="N64" s="13">
        <v>-5.2138820000000004E-3</v>
      </c>
      <c r="O64" s="13">
        <v>-5.2377140000000001E-3</v>
      </c>
      <c r="P64" s="13">
        <v>-5.5276570000000001E-3</v>
      </c>
      <c r="Q64" s="13">
        <v>-4.9086340000000003E-3</v>
      </c>
      <c r="R64" s="13">
        <v>-3.4115840000000001E-3</v>
      </c>
      <c r="S64" s="13">
        <v>-5.7700000000000004E-4</v>
      </c>
      <c r="T64" s="13">
        <v>0.10921055</v>
      </c>
      <c r="U64" s="13">
        <v>0.10758419299999999</v>
      </c>
      <c r="V64" s="13">
        <v>0.10877219</v>
      </c>
      <c r="W64" s="13">
        <v>0.11062493499999999</v>
      </c>
      <c r="X64" s="13">
        <v>0.108982009</v>
      </c>
      <c r="Y64" s="13">
        <v>0.10660995099999999</v>
      </c>
      <c r="Z64" s="13">
        <v>0.103603485</v>
      </c>
      <c r="AA64" s="13">
        <v>6.4052980000000002E-3</v>
      </c>
      <c r="AB64" s="13">
        <v>5.9906949999999999E-3</v>
      </c>
      <c r="AC64" s="13">
        <v>2.025237E-3</v>
      </c>
      <c r="AD64" s="13">
        <v>-2.0001229999999999E-3</v>
      </c>
      <c r="AE64" s="13">
        <v>-1.1082139999999999E-3</v>
      </c>
      <c r="AF64" s="13">
        <v>7.0099999999999996E-5</v>
      </c>
      <c r="AG64" s="13">
        <v>2.3491010000000001E-3</v>
      </c>
      <c r="AH64" s="13">
        <v>9.3136577999999998E-2</v>
      </c>
      <c r="AI64" s="13">
        <v>9.4816818999999997E-2</v>
      </c>
      <c r="AJ64" s="13">
        <v>0.10103667199999999</v>
      </c>
      <c r="AK64" s="13">
        <v>0.106363849</v>
      </c>
      <c r="AL64" s="13">
        <v>0.105054854</v>
      </c>
      <c r="AM64" s="13">
        <v>0.10322741100000001</v>
      </c>
      <c r="AN64" s="13">
        <v>0.10025158200000001</v>
      </c>
      <c r="AO64" s="13">
        <v>0.129902712</v>
      </c>
      <c r="AP64" s="14">
        <v>-0.187765972</v>
      </c>
      <c r="AQ64" s="14">
        <v>0.74896966600000003</v>
      </c>
    </row>
    <row r="65" spans="1:43" hidden="1" x14ac:dyDescent="0.25">
      <c r="A65" s="15" t="s">
        <v>110</v>
      </c>
      <c r="B65" s="16" t="e">
        <f>VLOOKUP(Sheet1!D65,Sheet2!A62,1,FALSE)</f>
        <v>#N/A</v>
      </c>
      <c r="C65" s="15" t="s">
        <v>15</v>
      </c>
      <c r="D65" s="15" t="s">
        <v>54</v>
      </c>
      <c r="E65" s="16" t="s">
        <v>67</v>
      </c>
      <c r="F65" s="13">
        <v>3.4703198999999997E-2</v>
      </c>
      <c r="G65" s="13">
        <v>3.7197974000000002E-2</v>
      </c>
      <c r="H65" s="13">
        <v>4.2711104999999999E-2</v>
      </c>
      <c r="I65" s="13">
        <v>4.9715324999999998E-2</v>
      </c>
      <c r="J65" s="13">
        <v>5.406002E-2</v>
      </c>
      <c r="K65" s="13">
        <v>5.685801E-2</v>
      </c>
      <c r="L65" s="13">
        <v>5.8773022000000001E-2</v>
      </c>
      <c r="M65" s="13">
        <v>-3.5040961000000002E-2</v>
      </c>
      <c r="N65" s="13">
        <v>-2.6059651999999999E-2</v>
      </c>
      <c r="O65" s="13">
        <v>-1.6878774999999999E-2</v>
      </c>
      <c r="P65" s="13">
        <v>-5.4005779999999996E-3</v>
      </c>
      <c r="Q65" s="13">
        <v>2.8349899999999999E-3</v>
      </c>
      <c r="R65" s="13">
        <v>8.6861999999999998E-3</v>
      </c>
      <c r="S65" s="13">
        <v>1.3470849999999999E-2</v>
      </c>
      <c r="T65" s="13">
        <v>0.11128510899999999</v>
      </c>
      <c r="U65" s="13">
        <v>0.104957711</v>
      </c>
      <c r="V65" s="13">
        <v>0.105428413</v>
      </c>
      <c r="W65" s="13">
        <v>0.107773878</v>
      </c>
      <c r="X65" s="13">
        <v>0.108267619</v>
      </c>
      <c r="Y65" s="13">
        <v>0.10744455999999999</v>
      </c>
      <c r="Z65" s="13">
        <v>0.106486212</v>
      </c>
      <c r="AA65" s="13">
        <v>-7.1493939999999999E-3</v>
      </c>
      <c r="AB65" s="13">
        <v>-3.706413E-3</v>
      </c>
      <c r="AC65" s="13">
        <v>7.4599200000000001E-4</v>
      </c>
      <c r="AD65" s="13">
        <v>4.9110359999999997E-3</v>
      </c>
      <c r="AE65" s="13">
        <v>1.1133204000000001E-2</v>
      </c>
      <c r="AF65" s="13">
        <v>1.5627603E-2</v>
      </c>
      <c r="AG65" s="13">
        <v>1.8446702999999998E-2</v>
      </c>
      <c r="AH65" s="13">
        <v>7.8320046000000004E-2</v>
      </c>
      <c r="AI65" s="13">
        <v>7.9781752999999997E-2</v>
      </c>
      <c r="AJ65" s="13">
        <v>8.6436075000000001E-2</v>
      </c>
      <c r="AK65" s="13">
        <v>9.6517227999999997E-2</v>
      </c>
      <c r="AL65" s="13">
        <v>9.8809324000000004E-2</v>
      </c>
      <c r="AM65" s="13">
        <v>9.9762206000000006E-2</v>
      </c>
      <c r="AN65" s="13">
        <v>0.100696099</v>
      </c>
      <c r="AO65" s="13">
        <v>0.19328046500000001</v>
      </c>
      <c r="AP65" s="14">
        <v>-0.26469080299999997</v>
      </c>
      <c r="AQ65" s="14">
        <v>0.940581255</v>
      </c>
    </row>
    <row r="66" spans="1:43" hidden="1" x14ac:dyDescent="0.25">
      <c r="A66" s="15" t="s">
        <v>110</v>
      </c>
      <c r="B66" s="16" t="e">
        <f>VLOOKUP(Sheet1!D66,Sheet2!A63,1,FALSE)</f>
        <v>#N/A</v>
      </c>
      <c r="C66" s="15" t="s">
        <v>15</v>
      </c>
      <c r="D66" s="15" t="s">
        <v>112</v>
      </c>
      <c r="E66" s="16" t="s">
        <v>121</v>
      </c>
      <c r="F66" s="13">
        <v>3.5358515E-2</v>
      </c>
      <c r="G66" s="13">
        <v>3.7584676999999997E-2</v>
      </c>
      <c r="H66" s="13">
        <v>4.2446402000000001E-2</v>
      </c>
      <c r="I66" s="13">
        <v>4.8517725999999997E-2</v>
      </c>
      <c r="J66" s="13">
        <v>5.2222808000000003E-2</v>
      </c>
      <c r="K66" s="13">
        <v>5.4586163E-2</v>
      </c>
      <c r="L66" s="13">
        <v>5.6195729E-2</v>
      </c>
      <c r="M66" s="13">
        <v>-1.40141E-2</v>
      </c>
      <c r="N66" s="13">
        <v>-5.2729639999999998E-3</v>
      </c>
      <c r="O66" s="13">
        <v>4.4854270000000002E-3</v>
      </c>
      <c r="P66" s="13">
        <v>1.5028698E-2</v>
      </c>
      <c r="Q66" s="13">
        <v>2.1604248999999999E-2</v>
      </c>
      <c r="R66" s="13">
        <v>2.6240106999999999E-2</v>
      </c>
      <c r="S66" s="13">
        <v>2.9426747999999999E-2</v>
      </c>
      <c r="T66" s="13">
        <v>8.8102900999999997E-2</v>
      </c>
      <c r="U66" s="13">
        <v>8.2812461000000004E-2</v>
      </c>
      <c r="V66" s="13">
        <v>8.1979573E-2</v>
      </c>
      <c r="W66" s="13">
        <v>8.3348769000000003E-2</v>
      </c>
      <c r="X66" s="13">
        <v>8.3861736000000006E-2</v>
      </c>
      <c r="Y66" s="13">
        <v>8.3840342999999998E-2</v>
      </c>
      <c r="Z66" s="13">
        <v>8.3407899999999993E-2</v>
      </c>
      <c r="AA66" s="13">
        <v>1.6202534000000001E-2</v>
      </c>
      <c r="AB66" s="13">
        <v>1.8178647999999999E-2</v>
      </c>
      <c r="AC66" s="13">
        <v>2.3601059000000001E-2</v>
      </c>
      <c r="AD66" s="13">
        <v>2.8454815000000001E-2</v>
      </c>
      <c r="AE66" s="13">
        <v>3.2435674999999997E-2</v>
      </c>
      <c r="AF66" s="13">
        <v>3.5775515000000001E-2</v>
      </c>
      <c r="AG66" s="13">
        <v>3.8696290000000001E-2</v>
      </c>
      <c r="AH66" s="13">
        <v>5.4875596999999998E-2</v>
      </c>
      <c r="AI66" s="13">
        <v>5.7360577000000003E-2</v>
      </c>
      <c r="AJ66" s="13">
        <v>6.1638703000000003E-2</v>
      </c>
      <c r="AK66" s="13">
        <v>6.8972020999999994E-2</v>
      </c>
      <c r="AL66" s="13">
        <v>7.2389173000000001E-2</v>
      </c>
      <c r="AM66" s="13">
        <v>7.3738429999999994E-2</v>
      </c>
      <c r="AN66" s="13">
        <v>7.3989991000000005E-2</v>
      </c>
      <c r="AO66" s="13">
        <v>0.15037097399999999</v>
      </c>
      <c r="AP66" s="14">
        <v>-0.24621021900000001</v>
      </c>
      <c r="AQ66" s="14">
        <v>1</v>
      </c>
    </row>
    <row r="67" spans="1:43" hidden="1" x14ac:dyDescent="0.25">
      <c r="A67" s="15" t="s">
        <v>110</v>
      </c>
      <c r="B67" s="16" t="e">
        <f>VLOOKUP(Sheet1!D67,Sheet2!A64,1,FALSE)</f>
        <v>#N/A</v>
      </c>
      <c r="C67" s="15" t="s">
        <v>15</v>
      </c>
      <c r="D67" s="15" t="s">
        <v>171</v>
      </c>
      <c r="E67" s="16" t="s">
        <v>164</v>
      </c>
      <c r="F67" s="13">
        <v>6.1971465000000003E-2</v>
      </c>
      <c r="G67" s="13">
        <v>6.1654725000000001E-2</v>
      </c>
      <c r="H67" s="13">
        <v>6.0368086000000001E-2</v>
      </c>
      <c r="I67" s="13">
        <v>5.7686679999999997E-2</v>
      </c>
      <c r="J67" s="13">
        <v>5.5428367999999999E-2</v>
      </c>
      <c r="K67" s="13">
        <v>5.3757702999999997E-2</v>
      </c>
      <c r="L67" s="13">
        <v>5.2541495000000001E-2</v>
      </c>
      <c r="M67" s="13">
        <v>-7.8030380999999996E-2</v>
      </c>
      <c r="N67" s="13">
        <v>-7.3549400000000001E-2</v>
      </c>
      <c r="O67" s="13">
        <v>-8.2775611999999998E-2</v>
      </c>
      <c r="P67" s="13">
        <v>-9.2392997000000004E-2</v>
      </c>
      <c r="Q67" s="13">
        <v>-9.3506457000000001E-2</v>
      </c>
      <c r="R67" s="13">
        <v>-8.9791454000000007E-2</v>
      </c>
      <c r="S67" s="13">
        <v>-8.5844433999999997E-2</v>
      </c>
      <c r="T67" s="13">
        <v>0.222462664</v>
      </c>
      <c r="U67" s="13">
        <v>0.21453550299999999</v>
      </c>
      <c r="V67" s="13">
        <v>0.22611921900000001</v>
      </c>
      <c r="W67" s="13">
        <v>0.23224486799999999</v>
      </c>
      <c r="X67" s="13">
        <v>0.22789204299999999</v>
      </c>
      <c r="Y67" s="13">
        <v>0.22170177499999999</v>
      </c>
      <c r="Z67" s="13">
        <v>0.21231180299999999</v>
      </c>
      <c r="AA67" s="13">
        <v>-4.1102149999999997E-2</v>
      </c>
      <c r="AB67" s="13">
        <v>-5.3358269999999999E-2</v>
      </c>
      <c r="AC67" s="13">
        <v>-6.7540665999999999E-2</v>
      </c>
      <c r="AD67" s="13">
        <v>-8.1781581000000006E-2</v>
      </c>
      <c r="AE67" s="13">
        <v>-8.6285234000000002E-2</v>
      </c>
      <c r="AF67" s="13">
        <v>-8.6238020999999998E-2</v>
      </c>
      <c r="AG67" s="13">
        <v>-8.5639890999999996E-2</v>
      </c>
      <c r="AH67" s="13">
        <v>0.17612467700000001</v>
      </c>
      <c r="AI67" s="13">
        <v>0.190641328</v>
      </c>
      <c r="AJ67" s="13">
        <v>0.20582257100000001</v>
      </c>
      <c r="AK67" s="13">
        <v>0.218339176</v>
      </c>
      <c r="AL67" s="13">
        <v>0.21912119899999999</v>
      </c>
      <c r="AM67" s="13">
        <v>0.21520192899999999</v>
      </c>
      <c r="AN67" s="13">
        <v>0.21160535699999999</v>
      </c>
      <c r="AO67" s="13">
        <v>0.31793228800000001</v>
      </c>
      <c r="AP67" s="14">
        <v>-0.154261758</v>
      </c>
      <c r="AQ67" s="14">
        <v>0.28921830799999998</v>
      </c>
    </row>
    <row r="68" spans="1:43" hidden="1" x14ac:dyDescent="0.25">
      <c r="A68" s="15" t="s">
        <v>110</v>
      </c>
      <c r="B68" s="16" t="e">
        <f>VLOOKUP(Sheet1!D68,Sheet2!A65,1,FALSE)</f>
        <v>#N/A</v>
      </c>
      <c r="C68" s="15" t="s">
        <v>15</v>
      </c>
      <c r="D68" s="15" t="s">
        <v>170</v>
      </c>
      <c r="E68" s="16" t="s">
        <v>165</v>
      </c>
      <c r="F68" s="13">
        <v>5.1384711E-2</v>
      </c>
      <c r="G68" s="13">
        <v>5.4586843000000003E-2</v>
      </c>
      <c r="H68" s="13">
        <v>6.1808340000000003E-2</v>
      </c>
      <c r="I68" s="13">
        <v>7.1249372000000005E-2</v>
      </c>
      <c r="J68" s="13">
        <v>7.7260735999999997E-2</v>
      </c>
      <c r="K68" s="13">
        <v>8.1190395999999998E-2</v>
      </c>
      <c r="L68" s="13">
        <v>8.390069E-2</v>
      </c>
      <c r="M68" s="13">
        <v>-5.5478044999999997E-2</v>
      </c>
      <c r="N68" s="13">
        <v>-4.2602605000000002E-2</v>
      </c>
      <c r="O68" s="13">
        <v>-3.1581756000000002E-2</v>
      </c>
      <c r="P68" s="13">
        <v>-1.8646765999999999E-2</v>
      </c>
      <c r="Q68" s="13">
        <v>-7.1455909999999997E-3</v>
      </c>
      <c r="R68" s="13">
        <v>1.2110440000000001E-3</v>
      </c>
      <c r="S68" s="13">
        <v>8.0092259999999995E-3</v>
      </c>
      <c r="T68" s="13">
        <v>0.16953580400000001</v>
      </c>
      <c r="U68" s="13">
        <v>0.16227476499999999</v>
      </c>
      <c r="V68" s="13">
        <v>0.16510106199999999</v>
      </c>
      <c r="W68" s="13">
        <v>0.169781032</v>
      </c>
      <c r="X68" s="13">
        <v>0.16918707299999999</v>
      </c>
      <c r="Y68" s="13">
        <v>0.168233202</v>
      </c>
      <c r="Z68" s="13">
        <v>0.164820566</v>
      </c>
      <c r="AA68" s="13">
        <v>-1.9437125E-2</v>
      </c>
      <c r="AB68" s="13">
        <v>-1.628978E-2</v>
      </c>
      <c r="AC68" s="13">
        <v>-1.1555434E-2</v>
      </c>
      <c r="AD68" s="13">
        <v>-1.4088250000000001E-3</v>
      </c>
      <c r="AE68" s="13">
        <v>6.6747170000000001E-3</v>
      </c>
      <c r="AF68" s="13">
        <v>1.0981148E-2</v>
      </c>
      <c r="AG68" s="13">
        <v>1.6614297E-2</v>
      </c>
      <c r="AH68" s="13">
        <v>0.12732178699999999</v>
      </c>
      <c r="AI68" s="13">
        <v>0.130570149</v>
      </c>
      <c r="AJ68" s="13">
        <v>0.14061728000000001</v>
      </c>
      <c r="AK68" s="13">
        <v>0.14919423900000001</v>
      </c>
      <c r="AL68" s="13">
        <v>0.15279611300000001</v>
      </c>
      <c r="AM68" s="13">
        <v>0.156275465</v>
      </c>
      <c r="AN68" s="13">
        <v>0.15564054999999999</v>
      </c>
      <c r="AO68" s="13">
        <v>0.27505850500000001</v>
      </c>
      <c r="AP68" s="14">
        <v>-0.21713448699999999</v>
      </c>
      <c r="AQ68" s="14">
        <v>0.45823585300000003</v>
      </c>
    </row>
    <row r="69" spans="1:43" hidden="1" x14ac:dyDescent="0.25">
      <c r="A69" s="15" t="s">
        <v>110</v>
      </c>
      <c r="B69" s="16" t="e">
        <f>VLOOKUP(Sheet1!D69,Sheet2!A66,1,FALSE)</f>
        <v>#N/A</v>
      </c>
      <c r="C69" s="15" t="s">
        <v>20</v>
      </c>
      <c r="D69" s="15" t="s">
        <v>22</v>
      </c>
      <c r="E69" s="16" t="s">
        <v>41</v>
      </c>
      <c r="F69" s="13">
        <v>3.0592573000000001E-2</v>
      </c>
      <c r="G69" s="13">
        <v>3.0740544000000002E-2</v>
      </c>
      <c r="H69" s="13">
        <v>3.0586802E-2</v>
      </c>
      <c r="I69" s="13">
        <v>2.9530409000000001E-2</v>
      </c>
      <c r="J69" s="13">
        <v>2.8384016000000001E-2</v>
      </c>
      <c r="K69" s="13">
        <v>2.7466345E-2</v>
      </c>
      <c r="L69" s="13">
        <v>2.6777424000000001E-2</v>
      </c>
      <c r="M69" s="13">
        <v>-7.2830409999999996E-3</v>
      </c>
      <c r="N69" s="13">
        <v>-3.4399930000000001E-3</v>
      </c>
      <c r="O69" s="13">
        <v>-7.0433599999999996E-4</v>
      </c>
      <c r="P69" s="13">
        <v>1.2819299999999999E-3</v>
      </c>
      <c r="Q69" s="13">
        <v>2.2817499999999999E-3</v>
      </c>
      <c r="R69" s="13">
        <v>3.507086E-3</v>
      </c>
      <c r="S69" s="13">
        <v>4.2150139999999996E-3</v>
      </c>
      <c r="T69" s="13">
        <v>6.9953139999999997E-2</v>
      </c>
      <c r="U69" s="13">
        <v>6.6052166999999995E-2</v>
      </c>
      <c r="V69" s="13">
        <v>6.2346371999999997E-2</v>
      </c>
      <c r="W69" s="13">
        <v>5.8600246000000002E-2</v>
      </c>
      <c r="X69" s="13">
        <v>5.4924028999999999E-2</v>
      </c>
      <c r="Y69" s="13">
        <v>5.2186456999999999E-2</v>
      </c>
      <c r="Z69" s="13">
        <v>4.9915622E-2</v>
      </c>
      <c r="AA69" s="13">
        <v>5.2113740000000004E-3</v>
      </c>
      <c r="AB69" s="13">
        <v>6.2039740000000001E-3</v>
      </c>
      <c r="AC69" s="13">
        <v>6.894921E-3</v>
      </c>
      <c r="AD69" s="13">
        <v>6.8999999999999999E-3</v>
      </c>
      <c r="AE69" s="13">
        <v>7.2682839999999999E-3</v>
      </c>
      <c r="AF69" s="13">
        <v>7.2859159999999999E-3</v>
      </c>
      <c r="AG69" s="13">
        <v>7.648246E-3</v>
      </c>
      <c r="AH69" s="13">
        <v>5.6614640000000001E-2</v>
      </c>
      <c r="AI69" s="13">
        <v>5.5875444000000003E-2</v>
      </c>
      <c r="AJ69" s="13">
        <v>5.4836161000000001E-2</v>
      </c>
      <c r="AK69" s="13">
        <v>5.2670663E-2</v>
      </c>
      <c r="AL69" s="13">
        <v>4.9942406000000002E-2</v>
      </c>
      <c r="AM69" s="13">
        <v>4.8051087999999999E-2</v>
      </c>
      <c r="AN69" s="13">
        <v>4.6269750999999998E-2</v>
      </c>
      <c r="AO69" s="13">
        <v>9.4971406999999994E-2</v>
      </c>
      <c r="AP69" s="14">
        <v>-0.103308625</v>
      </c>
      <c r="AQ69" s="14">
        <v>0.34058743299999999</v>
      </c>
    </row>
    <row r="70" spans="1:43" hidden="1" x14ac:dyDescent="0.25">
      <c r="A70" s="15" t="s">
        <v>110</v>
      </c>
      <c r="B70" s="16" t="e">
        <f>VLOOKUP(Sheet1!D70,Sheet2!A67,1,FALSE)</f>
        <v>#N/A</v>
      </c>
      <c r="C70" s="15" t="s">
        <v>20</v>
      </c>
      <c r="D70" s="15" t="s">
        <v>113</v>
      </c>
      <c r="E70" s="16" t="s">
        <v>122</v>
      </c>
      <c r="F70" s="13">
        <v>-9.5322089999999998E-3</v>
      </c>
      <c r="G70" s="13">
        <v>-7.0676580000000001E-3</v>
      </c>
      <c r="H70" s="13">
        <v>-1.604856E-3</v>
      </c>
      <c r="I70" s="13">
        <v>5.3654870000000004E-3</v>
      </c>
      <c r="J70" s="13">
        <v>9.7066089999999997E-3</v>
      </c>
      <c r="K70" s="13">
        <v>1.2508821E-2</v>
      </c>
      <c r="L70" s="13">
        <v>1.4429022999999999E-2</v>
      </c>
      <c r="M70" s="13">
        <v>-2.0144467999999999E-2</v>
      </c>
      <c r="N70" s="13">
        <v>-1.7136149E-2</v>
      </c>
      <c r="O70" s="13">
        <v>-1.2395475E-2</v>
      </c>
      <c r="P70" s="13">
        <v>-6.1402699999999998E-3</v>
      </c>
      <c r="Q70" s="13">
        <v>-1.9478410000000001E-3</v>
      </c>
      <c r="R70" s="13">
        <v>1.190537E-3</v>
      </c>
      <c r="S70" s="13">
        <v>3.475592E-3</v>
      </c>
      <c r="T70" s="13">
        <v>1.2357539999999999E-3</v>
      </c>
      <c r="U70" s="13">
        <v>3.2202060000000002E-3</v>
      </c>
      <c r="V70" s="13">
        <v>9.3434130000000001E-3</v>
      </c>
      <c r="W70" s="13">
        <v>1.7184194E-2</v>
      </c>
      <c r="X70" s="13">
        <v>2.1551218E-2</v>
      </c>
      <c r="Y70" s="13">
        <v>2.4023149000000001E-2</v>
      </c>
      <c r="Z70" s="13">
        <v>2.5488253999999998E-2</v>
      </c>
      <c r="AA70" s="13">
        <v>-1.6330958E-2</v>
      </c>
      <c r="AB70" s="13">
        <v>-1.4720215E-2</v>
      </c>
      <c r="AC70" s="13">
        <v>-1.0891420000000001E-2</v>
      </c>
      <c r="AD70" s="13">
        <v>-5.2814569999999998E-3</v>
      </c>
      <c r="AE70" s="13">
        <v>-1.0853950000000001E-3</v>
      </c>
      <c r="AF70" s="13">
        <v>2.1395009999999998E-3</v>
      </c>
      <c r="AG70" s="13">
        <v>4.1351199999999999E-3</v>
      </c>
      <c r="AH70" s="13">
        <v>-2.6864689999999999E-3</v>
      </c>
      <c r="AI70" s="13">
        <v>6.4433600000000002E-4</v>
      </c>
      <c r="AJ70" s="13">
        <v>7.7688970000000003E-3</v>
      </c>
      <c r="AK70" s="13">
        <v>1.6126392E-2</v>
      </c>
      <c r="AL70" s="13">
        <v>2.0615206000000001E-2</v>
      </c>
      <c r="AM70" s="13">
        <v>2.2985433999999999E-2</v>
      </c>
      <c r="AN70" s="13">
        <v>2.4828454E-2</v>
      </c>
      <c r="AO70" s="13">
        <v>2.7129770000000001E-2</v>
      </c>
      <c r="AP70" s="14">
        <v>0.390081187</v>
      </c>
      <c r="AQ70" s="14">
        <v>0.29356539500000001</v>
      </c>
    </row>
    <row r="71" spans="1:43" hidden="1" x14ac:dyDescent="0.25">
      <c r="A71" s="15" t="s">
        <v>110</v>
      </c>
      <c r="B71" s="16" t="e">
        <f>VLOOKUP(Sheet1!D71,Sheet2!A68,1,FALSE)</f>
        <v>#N/A</v>
      </c>
      <c r="C71" s="15" t="s">
        <v>20</v>
      </c>
      <c r="D71" s="15" t="s">
        <v>114</v>
      </c>
      <c r="E71" s="16" t="s">
        <v>123</v>
      </c>
      <c r="F71" s="13">
        <v>-4.3665155999999997E-2</v>
      </c>
      <c r="G71" s="13">
        <v>-3.9184245999999999E-2</v>
      </c>
      <c r="H71" s="13">
        <v>-2.8793939000000001E-2</v>
      </c>
      <c r="I71" s="13">
        <v>-1.4686532E-2</v>
      </c>
      <c r="J71" s="13">
        <v>-5.4018979999999996E-3</v>
      </c>
      <c r="K71" s="13">
        <v>7.8115300000000003E-4</v>
      </c>
      <c r="L71" s="13">
        <v>5.0870589999999997E-3</v>
      </c>
      <c r="M71" s="13">
        <v>-0.101045522</v>
      </c>
      <c r="N71" s="13">
        <v>-9.4123190999999995E-2</v>
      </c>
      <c r="O71" s="13">
        <v>-8.1576860000000001E-2</v>
      </c>
      <c r="P71" s="13">
        <v>-6.4869700000000002E-2</v>
      </c>
      <c r="Q71" s="13">
        <v>-5.3123338999999999E-2</v>
      </c>
      <c r="R71" s="13">
        <v>-4.4073863999999997E-2</v>
      </c>
      <c r="S71" s="13">
        <v>-3.7551792000000001E-2</v>
      </c>
      <c r="T71" s="13">
        <v>1.7145576999999999E-2</v>
      </c>
      <c r="U71" s="13">
        <v>1.847126E-2</v>
      </c>
      <c r="V71" s="13">
        <v>2.7077850000000001E-2</v>
      </c>
      <c r="W71" s="13">
        <v>3.8213043000000002E-2</v>
      </c>
      <c r="X71" s="13">
        <v>4.4539443999999997E-2</v>
      </c>
      <c r="Y71" s="13">
        <v>4.7342988000000003E-2</v>
      </c>
      <c r="Z71" s="13">
        <v>4.9459845000000002E-2</v>
      </c>
      <c r="AA71" s="13">
        <v>-9.2215041999999997E-2</v>
      </c>
      <c r="AB71" s="13">
        <v>-8.8415161000000006E-2</v>
      </c>
      <c r="AC71" s="13">
        <v>-7.8842994E-2</v>
      </c>
      <c r="AD71" s="13">
        <v>-6.3305882999999993E-2</v>
      </c>
      <c r="AE71" s="13">
        <v>-5.0812704E-2</v>
      </c>
      <c r="AF71" s="13">
        <v>-4.1540796999999997E-2</v>
      </c>
      <c r="AG71" s="13">
        <v>-3.4817743999999998E-2</v>
      </c>
      <c r="AH71" s="13">
        <v>7.4812619999999998E-3</v>
      </c>
      <c r="AI71" s="13">
        <v>1.2705431E-2</v>
      </c>
      <c r="AJ71" s="13">
        <v>2.3974424000000001E-2</v>
      </c>
      <c r="AK71" s="13">
        <v>3.6456417999999997E-2</v>
      </c>
      <c r="AL71" s="13">
        <v>4.2181441E-2</v>
      </c>
      <c r="AM71" s="13">
        <v>4.4971889000000001E-2</v>
      </c>
      <c r="AN71" s="13">
        <v>4.6641755E-2</v>
      </c>
      <c r="AO71" s="13">
        <v>9.9267929000000005E-2</v>
      </c>
      <c r="AP71" s="14">
        <v>0.70858581499999995</v>
      </c>
      <c r="AQ71" s="14">
        <v>-0.177990489</v>
      </c>
    </row>
    <row r="72" spans="1:43" hidden="1" x14ac:dyDescent="0.25">
      <c r="A72" s="15" t="s">
        <v>110</v>
      </c>
      <c r="B72" s="16" t="e">
        <f>VLOOKUP(Sheet1!D72,Sheet2!A69,1,FALSE)</f>
        <v>#N/A</v>
      </c>
      <c r="C72" s="15" t="s">
        <v>20</v>
      </c>
      <c r="D72" s="15" t="s">
        <v>115</v>
      </c>
      <c r="E72" s="16" t="s">
        <v>124</v>
      </c>
      <c r="F72" s="13">
        <v>-2.9600378E-2</v>
      </c>
      <c r="G72" s="13">
        <v>-2.6069497000000001E-2</v>
      </c>
      <c r="H72" s="13">
        <v>-1.8004554999999998E-2</v>
      </c>
      <c r="I72" s="13">
        <v>-7.2751329999999996E-3</v>
      </c>
      <c r="J72" s="13">
        <v>-3.3720700000000001E-4</v>
      </c>
      <c r="K72" s="13">
        <v>4.2376430000000001E-3</v>
      </c>
      <c r="L72" s="13">
        <v>7.4070780000000001E-3</v>
      </c>
      <c r="M72" s="13">
        <v>-6.3691910000000004E-2</v>
      </c>
      <c r="N72" s="13">
        <v>-5.8601436E-2</v>
      </c>
      <c r="O72" s="13">
        <v>-4.9681185000000003E-2</v>
      </c>
      <c r="P72" s="13">
        <v>-3.7871824999999998E-2</v>
      </c>
      <c r="Q72" s="13">
        <v>-2.9225568E-2</v>
      </c>
      <c r="R72" s="13">
        <v>-2.2984170000000002E-2</v>
      </c>
      <c r="S72" s="13">
        <v>-1.8655758000000001E-2</v>
      </c>
      <c r="T72" s="13">
        <v>5.7374669999999996E-3</v>
      </c>
      <c r="U72" s="13">
        <v>7.3804509999999997E-3</v>
      </c>
      <c r="V72" s="13">
        <v>1.4679202000000001E-2</v>
      </c>
      <c r="W72" s="13">
        <v>2.4187242000000001E-2</v>
      </c>
      <c r="X72" s="13">
        <v>2.9560320000000001E-2</v>
      </c>
      <c r="Y72" s="13">
        <v>3.2377370000000003E-2</v>
      </c>
      <c r="Z72" s="13">
        <v>3.4094617000000001E-2</v>
      </c>
      <c r="AA72" s="13">
        <v>-5.8016115E-2</v>
      </c>
      <c r="AB72" s="13">
        <v>-5.4549673E-2</v>
      </c>
      <c r="AC72" s="13">
        <v>-4.7734786000000001E-2</v>
      </c>
      <c r="AD72" s="13">
        <v>-3.6845558E-2</v>
      </c>
      <c r="AE72" s="13">
        <v>-2.8294948E-2</v>
      </c>
      <c r="AF72" s="13">
        <v>-2.1340768999999999E-2</v>
      </c>
      <c r="AG72" s="13">
        <v>-1.7045685000000001E-2</v>
      </c>
      <c r="AH72" s="13">
        <v>-3.27456E-4</v>
      </c>
      <c r="AI72" s="13">
        <v>3.2685990000000001E-3</v>
      </c>
      <c r="AJ72" s="13">
        <v>1.2653873E-2</v>
      </c>
      <c r="AK72" s="13">
        <v>2.3203152000000001E-2</v>
      </c>
      <c r="AL72" s="13">
        <v>2.8424929000000002E-2</v>
      </c>
      <c r="AM72" s="13">
        <v>3.0484577999999998E-2</v>
      </c>
      <c r="AN72" s="13">
        <v>3.2468148000000002E-2</v>
      </c>
      <c r="AO72" s="13">
        <v>6.3887975E-2</v>
      </c>
      <c r="AP72" s="14">
        <v>0.73828607400000001</v>
      </c>
      <c r="AQ72" s="14">
        <v>-0.20017533700000001</v>
      </c>
    </row>
    <row r="73" spans="1:43" hidden="1" x14ac:dyDescent="0.25">
      <c r="A73" s="15" t="s">
        <v>110</v>
      </c>
      <c r="B73" s="16" t="e">
        <f>VLOOKUP(Sheet1!D73,Sheet2!A70,1,FALSE)</f>
        <v>#N/A</v>
      </c>
      <c r="C73" s="15" t="s">
        <v>20</v>
      </c>
      <c r="D73" s="15" t="s">
        <v>116</v>
      </c>
      <c r="E73" s="16" t="s">
        <v>173</v>
      </c>
      <c r="F73" s="13">
        <v>-1.4786887E-2</v>
      </c>
      <c r="G73" s="13">
        <v>-1.2308257E-2</v>
      </c>
      <c r="H73" s="13">
        <v>-6.8085710000000002E-3</v>
      </c>
      <c r="I73" s="13">
        <v>2.19185E-4</v>
      </c>
      <c r="J73" s="13">
        <v>4.6020449999999999E-3</v>
      </c>
      <c r="K73" s="13">
        <v>7.4334300000000004E-3</v>
      </c>
      <c r="L73" s="13">
        <v>9.3744090000000002E-3</v>
      </c>
      <c r="M73" s="13">
        <v>-2.7136377E-2</v>
      </c>
      <c r="N73" s="13">
        <v>-2.3076514999999999E-2</v>
      </c>
      <c r="O73" s="13">
        <v>-1.6713606999999998E-2</v>
      </c>
      <c r="P73" s="13">
        <v>-8.9330260000000002E-3</v>
      </c>
      <c r="Q73" s="13">
        <v>-4.0301579999999998E-3</v>
      </c>
      <c r="R73" s="13">
        <v>-6.5190400000000003E-4</v>
      </c>
      <c r="S73" s="13">
        <v>1.723554E-3</v>
      </c>
      <c r="T73" s="13">
        <v>-2.3582400000000002E-3</v>
      </c>
      <c r="U73" s="13">
        <v>-1.392234E-3</v>
      </c>
      <c r="V73" s="13">
        <v>3.2857889999999999E-3</v>
      </c>
      <c r="W73" s="13">
        <v>9.5352570000000001E-3</v>
      </c>
      <c r="X73" s="13">
        <v>1.3332603E-2</v>
      </c>
      <c r="Y73" s="13">
        <v>1.5570532999999999E-2</v>
      </c>
      <c r="Z73" s="13">
        <v>1.7082417999999999E-2</v>
      </c>
      <c r="AA73" s="13">
        <v>-1.9419499E-2</v>
      </c>
      <c r="AB73" s="13">
        <v>-1.7251417000000002E-2</v>
      </c>
      <c r="AC73" s="13">
        <v>-1.2287988999999999E-2</v>
      </c>
      <c r="AD73" s="13">
        <v>-6.1284180000000001E-3</v>
      </c>
      <c r="AE73" s="13">
        <v>-1.5298250000000001E-3</v>
      </c>
      <c r="AF73" s="13">
        <v>1.473121E-3</v>
      </c>
      <c r="AG73" s="13">
        <v>3.7562350000000001E-3</v>
      </c>
      <c r="AH73" s="13">
        <v>-1.0132388000000001E-2</v>
      </c>
      <c r="AI73" s="13">
        <v>-7.3402329999999998E-3</v>
      </c>
      <c r="AJ73" s="13">
        <v>-1.298755E-3</v>
      </c>
      <c r="AK73" s="13">
        <v>6.607328E-3</v>
      </c>
      <c r="AL73" s="13">
        <v>1.0771573E-2</v>
      </c>
      <c r="AM73" s="13">
        <v>1.3429211999999999E-2</v>
      </c>
      <c r="AN73" s="13">
        <v>1.5024030000000001E-2</v>
      </c>
      <c r="AO73" s="13">
        <v>3.8451862000000003E-2</v>
      </c>
      <c r="AP73" s="14">
        <v>1</v>
      </c>
      <c r="AQ73" s="14">
        <v>-0.24621021900000001</v>
      </c>
    </row>
    <row r="74" spans="1:43" hidden="1" x14ac:dyDescent="0.25">
      <c r="A74" s="15" t="s">
        <v>110</v>
      </c>
      <c r="B74" s="16" t="e">
        <f>VLOOKUP(Sheet1!D74,Sheet2!A71,1,FALSE)</f>
        <v>#N/A</v>
      </c>
      <c r="C74" s="15" t="s">
        <v>20</v>
      </c>
      <c r="D74" s="15" t="s">
        <v>117</v>
      </c>
      <c r="E74" s="16" t="s">
        <v>125</v>
      </c>
      <c r="F74" s="13">
        <v>8.8399999999999994E-5</v>
      </c>
      <c r="G74" s="13">
        <v>1.809689E-3</v>
      </c>
      <c r="H74" s="13">
        <v>5.4672080000000003E-3</v>
      </c>
      <c r="I74" s="13">
        <v>9.8481780000000008E-3</v>
      </c>
      <c r="J74" s="13">
        <v>1.2412342999999999E-2</v>
      </c>
      <c r="K74" s="13">
        <v>1.4006737E-2</v>
      </c>
      <c r="L74" s="13">
        <v>1.5078141E-2</v>
      </c>
      <c r="M74" s="13">
        <v>-1.8976966000000001E-2</v>
      </c>
      <c r="N74" s="13">
        <v>-1.5153603E-2</v>
      </c>
      <c r="O74" s="13">
        <v>-1.1620492E-2</v>
      </c>
      <c r="P74" s="13">
        <v>-7.2592710000000003E-3</v>
      </c>
      <c r="Q74" s="13">
        <v>-4.1500850000000004E-3</v>
      </c>
      <c r="R74" s="13">
        <v>-2.0552779999999998E-3</v>
      </c>
      <c r="S74" s="13">
        <v>-2.9445900000000001E-4</v>
      </c>
      <c r="T74" s="13">
        <v>1.9511988000000001E-2</v>
      </c>
      <c r="U74" s="13">
        <v>1.9428201999999999E-2</v>
      </c>
      <c r="V74" s="13">
        <v>2.3029297000000001E-2</v>
      </c>
      <c r="W74" s="13">
        <v>2.7245386E-2</v>
      </c>
      <c r="X74" s="13">
        <v>2.9573278000000001E-2</v>
      </c>
      <c r="Y74" s="13">
        <v>3.0324828000000002E-2</v>
      </c>
      <c r="Z74" s="13">
        <v>3.0609496E-2</v>
      </c>
      <c r="AA74" s="13">
        <v>-8.1367460000000003E-3</v>
      </c>
      <c r="AB74" s="13">
        <v>-7.521898E-3</v>
      </c>
      <c r="AC74" s="13">
        <v>-6.8407629999999997E-3</v>
      </c>
      <c r="AD74" s="13">
        <v>-4.1672519999999998E-3</v>
      </c>
      <c r="AE74" s="13">
        <v>-1.8192410000000001E-3</v>
      </c>
      <c r="AF74" s="13">
        <v>3.55843E-4</v>
      </c>
      <c r="AG74" s="13">
        <v>1.31E-3</v>
      </c>
      <c r="AH74" s="13">
        <v>8.3816610000000003E-3</v>
      </c>
      <c r="AI74" s="13">
        <v>1.1229014000000001E-2</v>
      </c>
      <c r="AJ74" s="13">
        <v>1.7927709E-2</v>
      </c>
      <c r="AK74" s="13">
        <v>2.4060861999999999E-2</v>
      </c>
      <c r="AL74" s="13">
        <v>2.6846834E-2</v>
      </c>
      <c r="AM74" s="13">
        <v>2.7843910999999999E-2</v>
      </c>
      <c r="AN74" s="13">
        <v>2.9030835000000001E-2</v>
      </c>
      <c r="AO74" s="13">
        <v>5.7329201000000003E-2</v>
      </c>
      <c r="AP74" s="14">
        <v>0.68870816899999998</v>
      </c>
      <c r="AQ74" s="14">
        <v>0.11168389300000001</v>
      </c>
    </row>
    <row r="75" spans="1:43" hidden="1" x14ac:dyDescent="0.25">
      <c r="A75" s="15" t="s">
        <v>110</v>
      </c>
      <c r="B75" s="16" t="e">
        <f>VLOOKUP(Sheet1!D75,Sheet2!A72,1,FALSE)</f>
        <v>#N/A</v>
      </c>
      <c r="C75" s="15" t="s">
        <v>20</v>
      </c>
      <c r="D75" s="15" t="s">
        <v>118</v>
      </c>
      <c r="E75" s="16" t="s">
        <v>126</v>
      </c>
      <c r="F75" s="13">
        <v>-1.200939E-2</v>
      </c>
      <c r="G75" s="13">
        <v>-8.8172570000000002E-3</v>
      </c>
      <c r="H75" s="13">
        <v>-1.5861479999999999E-3</v>
      </c>
      <c r="I75" s="13">
        <v>7.9257479999999998E-3</v>
      </c>
      <c r="J75" s="13">
        <v>1.4015458E-2</v>
      </c>
      <c r="K75" s="13">
        <v>1.8008627999999999E-2</v>
      </c>
      <c r="L75" s="13">
        <v>2.0767099000000001E-2</v>
      </c>
      <c r="M75" s="13">
        <v>-2.9998533000000001E-2</v>
      </c>
      <c r="N75" s="13">
        <v>-2.4691744000000002E-2</v>
      </c>
      <c r="O75" s="13">
        <v>-1.6421255999999999E-2</v>
      </c>
      <c r="P75" s="13">
        <v>-6.1106449999999996E-3</v>
      </c>
      <c r="Q75" s="13">
        <v>7.1402800000000002E-4</v>
      </c>
      <c r="R75" s="13">
        <v>5.3326850000000002E-3</v>
      </c>
      <c r="S75" s="13">
        <v>8.7045709999999995E-3</v>
      </c>
      <c r="T75" s="13">
        <v>6.3837310000000001E-3</v>
      </c>
      <c r="U75" s="13">
        <v>7.4354110000000003E-3</v>
      </c>
      <c r="V75" s="13">
        <v>1.3691920999999999E-2</v>
      </c>
      <c r="W75" s="13">
        <v>2.2181563000000001E-2</v>
      </c>
      <c r="X75" s="13">
        <v>2.7522457E-2</v>
      </c>
      <c r="Y75" s="13">
        <v>3.0900052000000001E-2</v>
      </c>
      <c r="Z75" s="13">
        <v>3.2921471000000001E-2</v>
      </c>
      <c r="AA75" s="13">
        <v>-1.8809893000000001E-2</v>
      </c>
      <c r="AB75" s="13">
        <v>-1.5917934000000002E-2</v>
      </c>
      <c r="AC75" s="13">
        <v>-1.0127488E-2</v>
      </c>
      <c r="AD75" s="13">
        <v>-2.6025449999999999E-3</v>
      </c>
      <c r="AE75" s="13">
        <v>3.9684680000000002E-3</v>
      </c>
      <c r="AF75" s="13">
        <v>8.4102970000000006E-3</v>
      </c>
      <c r="AG75" s="13">
        <v>1.0607600999999999E-2</v>
      </c>
      <c r="AH75" s="13">
        <v>-5.1617529999999998E-3</v>
      </c>
      <c r="AI75" s="13">
        <v>-1.665344E-3</v>
      </c>
      <c r="AJ75" s="13">
        <v>7.0288939999999999E-3</v>
      </c>
      <c r="AK75" s="13">
        <v>1.8565176999999999E-2</v>
      </c>
      <c r="AL75" s="13">
        <v>2.4162993000000001E-2</v>
      </c>
      <c r="AM75" s="13">
        <v>2.7698318E-2</v>
      </c>
      <c r="AN75" s="13">
        <v>3.1028730000000001E-2</v>
      </c>
      <c r="AO75" s="13">
        <v>5.6382882000000002E-2</v>
      </c>
      <c r="AP75" s="14">
        <v>0.65161280700000002</v>
      </c>
      <c r="AQ75" s="14">
        <v>0.24970278300000001</v>
      </c>
    </row>
    <row r="76" spans="1:43" hidden="1" x14ac:dyDescent="0.25">
      <c r="A76" s="15" t="s">
        <v>110</v>
      </c>
      <c r="B76" s="16" t="e">
        <f>VLOOKUP(Sheet1!D76,Sheet2!A73,1,FALSE)</f>
        <v>#N/A</v>
      </c>
      <c r="C76" s="15" t="s">
        <v>20</v>
      </c>
      <c r="D76" s="15" t="s">
        <v>21</v>
      </c>
      <c r="E76" s="16" t="s">
        <v>39</v>
      </c>
      <c r="F76" s="13">
        <v>1.5196665E-2</v>
      </c>
      <c r="G76" s="13">
        <v>1.7433659000000001E-2</v>
      </c>
      <c r="H76" s="13">
        <v>2.2331994000000001E-2</v>
      </c>
      <c r="I76" s="13">
        <v>2.8472879E-2</v>
      </c>
      <c r="J76" s="13">
        <v>3.2234430000000001E-2</v>
      </c>
      <c r="K76" s="13">
        <v>3.4639109000000001E-2</v>
      </c>
      <c r="L76" s="13">
        <v>3.6278692000000001E-2</v>
      </c>
      <c r="M76" s="13">
        <v>-2.7779360999999999E-2</v>
      </c>
      <c r="N76" s="13">
        <v>-2.2730725E-2</v>
      </c>
      <c r="O76" s="13">
        <v>-1.7904051000000001E-2</v>
      </c>
      <c r="P76" s="13">
        <v>-1.1078930000000001E-2</v>
      </c>
      <c r="Q76" s="13">
        <v>-6.0193479999999999E-3</v>
      </c>
      <c r="R76" s="13">
        <v>-2.058032E-3</v>
      </c>
      <c r="S76" s="13">
        <v>1.3806339999999999E-3</v>
      </c>
      <c r="T76" s="13">
        <v>6.0305895999999998E-2</v>
      </c>
      <c r="U76" s="13">
        <v>5.9272418E-2</v>
      </c>
      <c r="V76" s="13">
        <v>6.3212462999999997E-2</v>
      </c>
      <c r="W76" s="13">
        <v>6.9947884000000002E-2</v>
      </c>
      <c r="X76" s="13">
        <v>7.2411672999999996E-2</v>
      </c>
      <c r="Y76" s="13">
        <v>7.2375103999999996E-2</v>
      </c>
      <c r="Z76" s="13">
        <v>7.2769738E-2</v>
      </c>
      <c r="AA76" s="13">
        <v>-1.5306893E-2</v>
      </c>
      <c r="AB76" s="13">
        <v>-1.3202752999999999E-2</v>
      </c>
      <c r="AC76" s="13">
        <v>-1.0591651000000001E-2</v>
      </c>
      <c r="AD76" s="13">
        <v>-8.1370999999999995E-3</v>
      </c>
      <c r="AE76" s="13">
        <v>-3.2463420000000002E-3</v>
      </c>
      <c r="AF76" s="13">
        <v>-4.9292100000000001E-4</v>
      </c>
      <c r="AG76" s="13">
        <v>3.685813E-3</v>
      </c>
      <c r="AH76" s="13">
        <v>4.6645154000000001E-2</v>
      </c>
      <c r="AI76" s="13">
        <v>4.9021218999999998E-2</v>
      </c>
      <c r="AJ76" s="13">
        <v>5.6351208999999999E-2</v>
      </c>
      <c r="AK76" s="13">
        <v>6.6434145999999999E-2</v>
      </c>
      <c r="AL76" s="13">
        <v>6.8978188999999995E-2</v>
      </c>
      <c r="AM76" s="13">
        <v>7.1006007999999995E-2</v>
      </c>
      <c r="AN76" s="13">
        <v>6.9929991999999996E-2</v>
      </c>
      <c r="AO76" s="13">
        <v>0.103278991</v>
      </c>
      <c r="AP76" s="14">
        <v>0.35804134399999998</v>
      </c>
      <c r="AQ76" s="14">
        <v>0.43746333700000001</v>
      </c>
    </row>
    <row r="77" spans="1:43" hidden="1" x14ac:dyDescent="0.25">
      <c r="A77" s="15" t="s">
        <v>110</v>
      </c>
      <c r="B77" s="16" t="e">
        <f>VLOOKUP(Sheet1!D77,Sheet2!A74,1,FALSE)</f>
        <v>#N/A</v>
      </c>
      <c r="C77" s="15" t="s">
        <v>20</v>
      </c>
      <c r="D77" s="15" t="s">
        <v>60</v>
      </c>
      <c r="E77" s="16" t="s">
        <v>74</v>
      </c>
      <c r="F77" s="13">
        <v>2.8212708999999999E-2</v>
      </c>
      <c r="G77" s="13">
        <v>2.9517985E-2</v>
      </c>
      <c r="H77" s="13">
        <v>3.2155573E-2</v>
      </c>
      <c r="I77" s="13">
        <v>3.5060014E-2</v>
      </c>
      <c r="J77" s="13">
        <v>3.6604843999999997E-2</v>
      </c>
      <c r="K77" s="13">
        <v>3.7504806000000002E-2</v>
      </c>
      <c r="L77" s="13">
        <v>3.8087933999999997E-2</v>
      </c>
      <c r="M77" s="13">
        <v>-1.39602E-3</v>
      </c>
      <c r="N77" s="13">
        <v>3.106138E-3</v>
      </c>
      <c r="O77" s="13">
        <v>7.5694359999999997E-3</v>
      </c>
      <c r="P77" s="13">
        <v>1.1547013E-2</v>
      </c>
      <c r="Q77" s="13">
        <v>1.4398615E-2</v>
      </c>
      <c r="R77" s="13">
        <v>1.6486852999999999E-2</v>
      </c>
      <c r="S77" s="13">
        <v>1.8144187999999999E-2</v>
      </c>
      <c r="T77" s="13">
        <v>5.8719649999999998E-2</v>
      </c>
      <c r="U77" s="13">
        <v>5.6935685E-2</v>
      </c>
      <c r="V77" s="13">
        <v>5.7694727000000001E-2</v>
      </c>
      <c r="W77" s="13">
        <v>5.9313154E-2</v>
      </c>
      <c r="X77" s="13">
        <v>5.9466273E-2</v>
      </c>
      <c r="Y77" s="13">
        <v>5.9112731000000002E-2</v>
      </c>
      <c r="Z77" s="13">
        <v>5.8507665E-2</v>
      </c>
      <c r="AA77" s="13">
        <v>1.0386174999999999E-2</v>
      </c>
      <c r="AB77" s="13">
        <v>1.1682633E-2</v>
      </c>
      <c r="AC77" s="13">
        <v>1.3423991999999999E-2</v>
      </c>
      <c r="AD77" s="13">
        <v>1.4892335E-2</v>
      </c>
      <c r="AE77" s="13">
        <v>1.6946550000000001E-2</v>
      </c>
      <c r="AF77" s="13">
        <v>1.9044235999999999E-2</v>
      </c>
      <c r="AG77" s="13">
        <v>2.0574934999999999E-2</v>
      </c>
      <c r="AH77" s="13">
        <v>4.6353763999999999E-2</v>
      </c>
      <c r="AI77" s="13">
        <v>4.7667764000000001E-2</v>
      </c>
      <c r="AJ77" s="13">
        <v>5.1233378000000003E-2</v>
      </c>
      <c r="AK77" s="13">
        <v>5.5628460999999997E-2</v>
      </c>
      <c r="AL77" s="13">
        <v>5.6643147999999997E-2</v>
      </c>
      <c r="AM77" s="13">
        <v>5.6299799999999997E-2</v>
      </c>
      <c r="AN77" s="13">
        <v>5.5901456000000002E-2</v>
      </c>
      <c r="AO77" s="13">
        <v>7.8936074999999994E-2</v>
      </c>
      <c r="AP77" s="14">
        <v>-8.4810330000000007E-3</v>
      </c>
      <c r="AQ77" s="14">
        <v>0.66236316200000001</v>
      </c>
    </row>
    <row r="78" spans="1:43" hidden="1" x14ac:dyDescent="0.25">
      <c r="A78" s="15" t="s">
        <v>110</v>
      </c>
      <c r="B78" s="16" t="e">
        <f>VLOOKUP(Sheet1!D78,Sheet2!A75,1,FALSE)</f>
        <v>#N/A</v>
      </c>
      <c r="C78" s="15" t="s">
        <v>20</v>
      </c>
      <c r="D78" s="15" t="s">
        <v>61</v>
      </c>
      <c r="E78" s="16" t="s">
        <v>75</v>
      </c>
      <c r="F78" s="13">
        <v>-1.2415798E-2</v>
      </c>
      <c r="G78" s="13">
        <v>-9.8680269999999997E-3</v>
      </c>
      <c r="H78" s="13">
        <v>-4.2018389999999997E-3</v>
      </c>
      <c r="I78" s="13">
        <v>3.0625320000000002E-3</v>
      </c>
      <c r="J78" s="13">
        <v>7.6067319999999997E-3</v>
      </c>
      <c r="K78" s="13">
        <v>1.0547480999999999E-2</v>
      </c>
      <c r="L78" s="13">
        <v>1.2565241E-2</v>
      </c>
      <c r="M78" s="13">
        <v>-2.3514568999999999E-2</v>
      </c>
      <c r="N78" s="13">
        <v>-1.9554561000000002E-2</v>
      </c>
      <c r="O78" s="13">
        <v>-1.3193702E-2</v>
      </c>
      <c r="P78" s="13">
        <v>-5.3492490000000004E-3</v>
      </c>
      <c r="Q78" s="13">
        <v>-2.1603599999999999E-4</v>
      </c>
      <c r="R78" s="13">
        <v>3.1161029999999998E-3</v>
      </c>
      <c r="S78" s="13">
        <v>5.5424580000000001E-3</v>
      </c>
      <c r="T78" s="13">
        <v>-1.2674050000000001E-3</v>
      </c>
      <c r="U78" s="13">
        <v>-1.3722499999999999E-4</v>
      </c>
      <c r="V78" s="13">
        <v>4.7591329999999996E-3</v>
      </c>
      <c r="W78" s="13">
        <v>1.1560697999999999E-2</v>
      </c>
      <c r="X78" s="13">
        <v>1.547901E-2</v>
      </c>
      <c r="Y78" s="13">
        <v>1.7933919999999999E-2</v>
      </c>
      <c r="Z78" s="13">
        <v>1.9566492000000001E-2</v>
      </c>
      <c r="AA78" s="13">
        <v>-1.6166496999999998E-2</v>
      </c>
      <c r="AB78" s="13">
        <v>-1.4022877E-2</v>
      </c>
      <c r="AC78" s="13">
        <v>-9.1331160000000002E-3</v>
      </c>
      <c r="AD78" s="13">
        <v>-2.6429940000000001E-3</v>
      </c>
      <c r="AE78" s="13">
        <v>1.9457610000000001E-3</v>
      </c>
      <c r="AF78" s="13">
        <v>5.1685810000000002E-3</v>
      </c>
      <c r="AG78" s="13">
        <v>7.1805840000000003E-3</v>
      </c>
      <c r="AH78" s="13">
        <v>-8.6508000000000002E-3</v>
      </c>
      <c r="AI78" s="13">
        <v>-5.6956690000000004E-3</v>
      </c>
      <c r="AJ78" s="13">
        <v>7.5398000000000001E-4</v>
      </c>
      <c r="AK78" s="13">
        <v>8.8006979999999992E-3</v>
      </c>
      <c r="AL78" s="13">
        <v>1.3299688E-2</v>
      </c>
      <c r="AM78" s="13">
        <v>1.5955165E-2</v>
      </c>
      <c r="AN78" s="13">
        <v>1.7978687E-2</v>
      </c>
      <c r="AO78" s="13">
        <v>3.4745738999999998E-2</v>
      </c>
      <c r="AP78" s="14">
        <v>0.95015241699999997</v>
      </c>
      <c r="AQ78" s="14">
        <v>-7.1134521000000006E-2</v>
      </c>
    </row>
    <row r="79" spans="1:43" hidden="1" x14ac:dyDescent="0.25">
      <c r="A79" s="15" t="s">
        <v>110</v>
      </c>
      <c r="B79" s="16" t="e">
        <f>VLOOKUP(Sheet1!D79,Sheet2!A76,1,FALSE)</f>
        <v>#N/A</v>
      </c>
      <c r="C79" s="15" t="s">
        <v>20</v>
      </c>
      <c r="D79" s="15" t="s">
        <v>119</v>
      </c>
      <c r="E79" s="16" t="s">
        <v>127</v>
      </c>
      <c r="F79" s="13">
        <v>-5.167774E-3</v>
      </c>
      <c r="G79" s="13">
        <v>-3.385678E-3</v>
      </c>
      <c r="H79" s="13">
        <v>4.2151899999999997E-4</v>
      </c>
      <c r="I79" s="13">
        <v>5.0204739999999996E-3</v>
      </c>
      <c r="J79" s="13">
        <v>7.7358399999999999E-3</v>
      </c>
      <c r="K79" s="13">
        <v>9.4335070000000007E-3</v>
      </c>
      <c r="L79" s="13">
        <v>1.0577629E-2</v>
      </c>
      <c r="M79" s="13">
        <v>-5.2497860000000002E-3</v>
      </c>
      <c r="N79" s="13">
        <v>-4.7349810000000001E-3</v>
      </c>
      <c r="O79" s="13">
        <v>-2.2596169999999998E-3</v>
      </c>
      <c r="P79" s="13">
        <v>1.6264490000000001E-3</v>
      </c>
      <c r="Q79" s="13">
        <v>4.2318829999999997E-3</v>
      </c>
      <c r="R79" s="13">
        <v>6.023853E-3</v>
      </c>
      <c r="S79" s="13">
        <v>7.3208279999999997E-3</v>
      </c>
      <c r="T79" s="13">
        <v>-5.085755E-3</v>
      </c>
      <c r="U79" s="13">
        <v>-2.0345459999999999E-3</v>
      </c>
      <c r="V79" s="13">
        <v>3.1098599999999999E-3</v>
      </c>
      <c r="W79" s="13">
        <v>8.425999E-3</v>
      </c>
      <c r="X79" s="13">
        <v>1.1252023E-2</v>
      </c>
      <c r="Y79" s="13">
        <v>1.2854717E-2</v>
      </c>
      <c r="Z79" s="13">
        <v>1.3844960999999999E-2</v>
      </c>
      <c r="AA79" s="13">
        <v>-5.2502750000000004E-3</v>
      </c>
      <c r="AB79" s="13">
        <v>-4.7547910000000004E-3</v>
      </c>
      <c r="AC79" s="13">
        <v>-2.0848249999999998E-3</v>
      </c>
      <c r="AD79" s="13">
        <v>1.799578E-3</v>
      </c>
      <c r="AE79" s="13">
        <v>4.3892139999999998E-3</v>
      </c>
      <c r="AF79" s="13">
        <v>6.1242249999999996E-3</v>
      </c>
      <c r="AG79" s="13">
        <v>7.388487E-3</v>
      </c>
      <c r="AH79" s="13">
        <v>-5.0852659999999997E-3</v>
      </c>
      <c r="AI79" s="13">
        <v>-2.0146819999999998E-3</v>
      </c>
      <c r="AJ79" s="13">
        <v>2.9341580000000001E-3</v>
      </c>
      <c r="AK79" s="13">
        <v>8.2517249999999997E-3</v>
      </c>
      <c r="AL79" s="13">
        <v>1.1093617E-2</v>
      </c>
      <c r="AM79" s="13">
        <v>1.2753674E-2</v>
      </c>
      <c r="AN79" s="13">
        <v>1.3776867999999999E-2</v>
      </c>
      <c r="AO79" s="13">
        <v>0</v>
      </c>
      <c r="AP79" s="14">
        <v>0</v>
      </c>
      <c r="AQ79" s="14">
        <v>0</v>
      </c>
    </row>
    <row r="80" spans="1:43" hidden="1" x14ac:dyDescent="0.25">
      <c r="A80" s="15" t="s">
        <v>110</v>
      </c>
      <c r="B80" s="16" t="e">
        <f>VLOOKUP(Sheet1!D80,Sheet2!A77,1,FALSE)</f>
        <v>#N/A</v>
      </c>
      <c r="C80" s="15" t="s">
        <v>20</v>
      </c>
      <c r="D80" s="15" t="s">
        <v>172</v>
      </c>
      <c r="E80" s="16" t="s">
        <v>166</v>
      </c>
      <c r="F80" s="13">
        <v>2.7613372000000001E-2</v>
      </c>
      <c r="G80" s="13">
        <v>2.7548387000000001E-2</v>
      </c>
      <c r="H80" s="13">
        <v>2.6883866999999999E-2</v>
      </c>
      <c r="I80" s="13">
        <v>2.5108274E-2</v>
      </c>
      <c r="J80" s="13">
        <v>2.3476509999999999E-2</v>
      </c>
      <c r="K80" s="13">
        <v>2.2232353E-2</v>
      </c>
      <c r="L80" s="13">
        <v>2.1315511999999998E-2</v>
      </c>
      <c r="M80" s="13">
        <v>-9.1128479999999998E-3</v>
      </c>
      <c r="N80" s="13">
        <v>-5.1009560000000002E-3</v>
      </c>
      <c r="O80" s="13">
        <v>-3.9363430000000001E-3</v>
      </c>
      <c r="P80" s="13">
        <v>-3.8812619999999999E-3</v>
      </c>
      <c r="Q80" s="13">
        <v>-4.1698129999999996E-3</v>
      </c>
      <c r="R80" s="13">
        <v>-3.5240340000000001E-3</v>
      </c>
      <c r="S80" s="13">
        <v>-3.190418E-3</v>
      </c>
      <c r="T80" s="13">
        <v>6.5485552000000002E-2</v>
      </c>
      <c r="U80" s="13">
        <v>6.1318335000000002E-2</v>
      </c>
      <c r="V80" s="13">
        <v>5.8780822000000003E-2</v>
      </c>
      <c r="W80" s="13">
        <v>5.5069843E-2</v>
      </c>
      <c r="X80" s="13">
        <v>5.1555255000000001E-2</v>
      </c>
      <c r="Y80" s="13">
        <v>4.8791792E-2</v>
      </c>
      <c r="Z80" s="13">
        <v>4.6350305000000001E-2</v>
      </c>
      <c r="AA80" s="13">
        <v>8.0866919999999995E-3</v>
      </c>
      <c r="AB80" s="13">
        <v>8.339707E-3</v>
      </c>
      <c r="AC80" s="13">
        <v>5.8211540000000003E-3</v>
      </c>
      <c r="AD80" s="13">
        <v>1.5020960000000001E-3</v>
      </c>
      <c r="AE80" s="13">
        <v>-1.6160100000000001E-4</v>
      </c>
      <c r="AF80" s="13">
        <v>-1.0047540000000001E-3</v>
      </c>
      <c r="AG80" s="13">
        <v>-1.106562E-3</v>
      </c>
      <c r="AH80" s="13">
        <v>4.7518287999999999E-2</v>
      </c>
      <c r="AI80" s="13">
        <v>4.7122987999999998E-2</v>
      </c>
      <c r="AJ80" s="13">
        <v>4.8387649999999997E-2</v>
      </c>
      <c r="AK80" s="13">
        <v>4.9270869000000002E-2</v>
      </c>
      <c r="AL80" s="13">
        <v>4.7673474E-2</v>
      </c>
      <c r="AM80" s="13">
        <v>4.6009966999999999E-2</v>
      </c>
      <c r="AN80" s="13">
        <v>4.4240895000000002E-2</v>
      </c>
      <c r="AO80" s="13">
        <v>0.102997966</v>
      </c>
      <c r="AP80" s="14">
        <v>-6.5294200999999996E-2</v>
      </c>
      <c r="AQ80" s="14">
        <v>-0.122536219</v>
      </c>
    </row>
    <row r="81" spans="1:43" hidden="1" x14ac:dyDescent="0.25">
      <c r="A81" s="15" t="s">
        <v>110</v>
      </c>
      <c r="B81" s="16" t="e">
        <f>VLOOKUP(Sheet1!D81,Sheet2!A78,1,FALSE)</f>
        <v>#N/A</v>
      </c>
      <c r="C81" s="15" t="s">
        <v>23</v>
      </c>
      <c r="D81" s="15" t="s">
        <v>64</v>
      </c>
      <c r="E81" s="16" t="s">
        <v>45</v>
      </c>
      <c r="F81" s="13">
        <v>0.12630327</v>
      </c>
      <c r="G81" s="13">
        <v>0.127008221</v>
      </c>
      <c r="H81" s="13">
        <v>0.12817615600000001</v>
      </c>
      <c r="I81" s="13">
        <v>0.12895846599999999</v>
      </c>
      <c r="J81" s="13">
        <v>0.129042091</v>
      </c>
      <c r="K81" s="13">
        <v>0.128948428</v>
      </c>
      <c r="L81" s="13">
        <v>0.12883382900000001</v>
      </c>
      <c r="M81" s="13">
        <v>-3.5569997999999999E-2</v>
      </c>
      <c r="N81" s="13">
        <v>-2.2159163999999999E-2</v>
      </c>
      <c r="O81" s="13">
        <v>-1.1719822E-2</v>
      </c>
      <c r="P81" s="13">
        <v>2.2691959999999998E-3</v>
      </c>
      <c r="Q81" s="13">
        <v>1.1538278000000001E-2</v>
      </c>
      <c r="R81" s="13">
        <v>1.9566692E-2</v>
      </c>
      <c r="S81" s="13">
        <v>2.6881628000000001E-2</v>
      </c>
      <c r="T81" s="13">
        <v>0.31542955499999997</v>
      </c>
      <c r="U81" s="13">
        <v>0.30008701900000001</v>
      </c>
      <c r="V81" s="13">
        <v>0.28768074599999999</v>
      </c>
      <c r="W81" s="13">
        <v>0.27348068399999997</v>
      </c>
      <c r="X81" s="13">
        <v>0.26135481500000002</v>
      </c>
      <c r="Y81" s="13">
        <v>0.25065610300000002</v>
      </c>
      <c r="Z81" s="13">
        <v>0.24169639000000001</v>
      </c>
      <c r="AA81" s="13">
        <v>-4.000127E-3</v>
      </c>
      <c r="AB81" s="13">
        <v>6.0888100000000003E-4</v>
      </c>
      <c r="AC81" s="13">
        <v>4.8140359999999998E-3</v>
      </c>
      <c r="AD81" s="13">
        <v>1.3179099E-2</v>
      </c>
      <c r="AE81" s="13">
        <v>2.339633E-2</v>
      </c>
      <c r="AF81" s="13">
        <v>2.9217934000000001E-2</v>
      </c>
      <c r="AG81" s="13">
        <v>3.5740920000000002E-2</v>
      </c>
      <c r="AH81" s="13">
        <v>0.27466556800000003</v>
      </c>
      <c r="AI81" s="13">
        <v>0.270317641</v>
      </c>
      <c r="AJ81" s="13">
        <v>0.26757409900000001</v>
      </c>
      <c r="AK81" s="13">
        <v>0.25873946799999997</v>
      </c>
      <c r="AL81" s="13">
        <v>0.24622266100000001</v>
      </c>
      <c r="AM81" s="13">
        <v>0.23889697600000001</v>
      </c>
      <c r="AN81" s="13">
        <v>0.230770424</v>
      </c>
      <c r="AO81" s="13">
        <v>0.30795894299999999</v>
      </c>
      <c r="AP81" s="14">
        <v>-0.295600586</v>
      </c>
      <c r="AQ81" s="14">
        <v>0.83847741099999995</v>
      </c>
    </row>
    <row r="82" spans="1:43" hidden="1" x14ac:dyDescent="0.25">
      <c r="A82" s="15" t="s">
        <v>110</v>
      </c>
      <c r="B82" s="16" t="e">
        <f>VLOOKUP(Sheet1!D82,Sheet2!A79,1,FALSE)</f>
        <v>#N/A</v>
      </c>
      <c r="C82" s="15" t="s">
        <v>23</v>
      </c>
      <c r="D82" s="15" t="s">
        <v>65</v>
      </c>
      <c r="E82" s="16" t="s">
        <v>45</v>
      </c>
      <c r="F82" s="13">
        <v>3.288481E-2</v>
      </c>
      <c r="G82" s="13">
        <v>3.4599365E-2</v>
      </c>
      <c r="H82" s="13">
        <v>3.8228585000000002E-2</v>
      </c>
      <c r="I82" s="13">
        <v>4.2549536999999998E-2</v>
      </c>
      <c r="J82" s="13">
        <v>4.5062644999999998E-2</v>
      </c>
      <c r="K82" s="13">
        <v>4.6619052000000001E-2</v>
      </c>
      <c r="L82" s="13">
        <v>4.7662692999999999E-2</v>
      </c>
      <c r="M82" s="13">
        <v>-9.484602E-3</v>
      </c>
      <c r="N82" s="13">
        <v>-3.9910960000000004E-3</v>
      </c>
      <c r="O82" s="13">
        <v>3.1086579999999998E-3</v>
      </c>
      <c r="P82" s="13">
        <v>1.0817461E-2</v>
      </c>
      <c r="Q82" s="13">
        <v>1.5998941999999999E-2</v>
      </c>
      <c r="R82" s="13">
        <v>1.9691673999999999E-2</v>
      </c>
      <c r="S82" s="13">
        <v>2.2634731000000002E-2</v>
      </c>
      <c r="T82" s="13">
        <v>7.7587535999999999E-2</v>
      </c>
      <c r="U82" s="13">
        <v>7.4757225999999996E-2</v>
      </c>
      <c r="V82" s="13">
        <v>7.4742655000000005E-2</v>
      </c>
      <c r="W82" s="13">
        <v>7.5160043999999995E-2</v>
      </c>
      <c r="X82" s="13">
        <v>7.4702307999999995E-2</v>
      </c>
      <c r="Y82" s="13">
        <v>7.4184499000000001E-2</v>
      </c>
      <c r="Z82" s="13">
        <v>7.3190601999999993E-2</v>
      </c>
      <c r="AA82" s="13">
        <v>6.8351330000000002E-3</v>
      </c>
      <c r="AB82" s="13">
        <v>8.4190819999999996E-3</v>
      </c>
      <c r="AC82" s="13">
        <v>1.2512015E-2</v>
      </c>
      <c r="AD82" s="13">
        <v>1.8721742E-2</v>
      </c>
      <c r="AE82" s="13">
        <v>2.1730138E-2</v>
      </c>
      <c r="AF82" s="13">
        <v>2.3662387999999999E-2</v>
      </c>
      <c r="AG82" s="13">
        <v>2.6765124000000001E-2</v>
      </c>
      <c r="AH82" s="13">
        <v>5.9614750000000001E-2</v>
      </c>
      <c r="AI82" s="13">
        <v>6.1465813000000001E-2</v>
      </c>
      <c r="AJ82" s="13">
        <v>6.4604380000000003E-2</v>
      </c>
      <c r="AK82" s="13">
        <v>6.6939799999999994E-2</v>
      </c>
      <c r="AL82" s="13">
        <v>6.8932874000000005E-2</v>
      </c>
      <c r="AM82" s="13">
        <v>7.0095262000000005E-2</v>
      </c>
      <c r="AN82" s="13">
        <v>6.8989481000000005E-2</v>
      </c>
      <c r="AO82" s="13">
        <v>0.113353445</v>
      </c>
      <c r="AP82" s="14">
        <v>-8.7909126000000004E-2</v>
      </c>
      <c r="AQ82" s="14">
        <v>0.63546455400000001</v>
      </c>
    </row>
    <row r="83" spans="1:43" hidden="1" x14ac:dyDescent="0.25">
      <c r="A83" s="15" t="s">
        <v>110</v>
      </c>
      <c r="B83" s="16" t="e">
        <f>VLOOKUP(Sheet1!D83,Sheet2!A80,1,FALSE)</f>
        <v>#N/A</v>
      </c>
      <c r="C83" s="15" t="s">
        <v>23</v>
      </c>
      <c r="D83" s="15" t="s">
        <v>24</v>
      </c>
      <c r="E83" s="16" t="s">
        <v>46</v>
      </c>
      <c r="F83" s="13">
        <v>9.8780859999999995E-3</v>
      </c>
      <c r="G83" s="13">
        <v>1.2522181E-2</v>
      </c>
      <c r="H83" s="13">
        <v>1.8413064E-2</v>
      </c>
      <c r="I83" s="13">
        <v>2.5984562999999999E-2</v>
      </c>
      <c r="J83" s="13">
        <v>3.0731865000000001E-2</v>
      </c>
      <c r="K83" s="13">
        <v>3.3808136000000003E-2</v>
      </c>
      <c r="L83" s="13">
        <v>3.5920323999999997E-2</v>
      </c>
      <c r="M83" s="13">
        <v>-2.4135474000000001E-2</v>
      </c>
      <c r="N83" s="13">
        <v>-1.8395952E-2</v>
      </c>
      <c r="O83" s="13">
        <v>-1.0262821E-2</v>
      </c>
      <c r="P83" s="13">
        <v>1.4794400000000001E-4</v>
      </c>
      <c r="Q83" s="13">
        <v>6.8109260000000001E-3</v>
      </c>
      <c r="R83" s="13">
        <v>1.1350041E-2</v>
      </c>
      <c r="S83" s="13">
        <v>1.4909182E-2</v>
      </c>
      <c r="T83" s="13">
        <v>4.506259E-2</v>
      </c>
      <c r="U83" s="13">
        <v>4.4321752999999998E-2</v>
      </c>
      <c r="V83" s="13">
        <v>4.7859875000000003E-2</v>
      </c>
      <c r="W83" s="13">
        <v>5.2363E-2</v>
      </c>
      <c r="X83" s="13">
        <v>5.5378585000000001E-2</v>
      </c>
      <c r="Y83" s="13">
        <v>5.6620522E-2</v>
      </c>
      <c r="Z83" s="13">
        <v>5.7406618999999999E-2</v>
      </c>
      <c r="AA83" s="13">
        <v>-9.5714430000000007E-3</v>
      </c>
      <c r="AB83" s="13">
        <v>-6.6291320000000003E-3</v>
      </c>
      <c r="AC83" s="13">
        <v>-1.7658159999999999E-3</v>
      </c>
      <c r="AD83" s="13">
        <v>4.9722400000000002E-3</v>
      </c>
      <c r="AE83" s="13">
        <v>1.1092060000000001E-2</v>
      </c>
      <c r="AF83" s="13">
        <v>1.5156898E-2</v>
      </c>
      <c r="AG83" s="13">
        <v>1.8195267000000001E-2</v>
      </c>
      <c r="AH83" s="13">
        <v>2.9711492999999999E-2</v>
      </c>
      <c r="AI83" s="13">
        <v>3.2044583000000001E-2</v>
      </c>
      <c r="AJ83" s="13">
        <v>3.9001906000000003E-2</v>
      </c>
      <c r="AK83" s="13">
        <v>4.7438415999999997E-2</v>
      </c>
      <c r="AL83" s="13">
        <v>5.0755057999999999E-2</v>
      </c>
      <c r="AM83" s="13">
        <v>5.2803756E-2</v>
      </c>
      <c r="AN83" s="13">
        <v>5.3955469999999998E-2</v>
      </c>
      <c r="AO83" s="13">
        <v>9.5194070000000006E-2</v>
      </c>
      <c r="AP83" s="14">
        <v>0.274768393</v>
      </c>
      <c r="AQ83" s="14">
        <v>0.18429626900000001</v>
      </c>
    </row>
    <row r="84" spans="1:43" hidden="1" x14ac:dyDescent="0.25">
      <c r="A84" s="15" t="s">
        <v>110</v>
      </c>
      <c r="B84" s="16" t="e">
        <f>VLOOKUP(Sheet1!D84,Sheet2!A81,1,FALSE)</f>
        <v>#N/A</v>
      </c>
      <c r="C84" s="15" t="s">
        <v>23</v>
      </c>
      <c r="D84" s="15" t="s">
        <v>25</v>
      </c>
      <c r="E84" s="16" t="s">
        <v>45</v>
      </c>
      <c r="F84" s="13">
        <v>4.9930299999999997E-2</v>
      </c>
      <c r="G84" s="13">
        <v>5.0939976999999997E-2</v>
      </c>
      <c r="H84" s="13">
        <v>5.2859042000000002E-2</v>
      </c>
      <c r="I84" s="13">
        <v>5.4733972999999998E-2</v>
      </c>
      <c r="J84" s="13">
        <v>5.5573808000000002E-2</v>
      </c>
      <c r="K84" s="13">
        <v>5.5995573999999999E-2</v>
      </c>
      <c r="L84" s="13">
        <v>5.6243256999999998E-2</v>
      </c>
      <c r="M84" s="13">
        <v>1.0170096E-2</v>
      </c>
      <c r="N84" s="13">
        <v>1.5492284E-2</v>
      </c>
      <c r="O84" s="13">
        <v>2.0547741000000001E-2</v>
      </c>
      <c r="P84" s="13">
        <v>2.5948946000000001E-2</v>
      </c>
      <c r="Q84" s="13">
        <v>2.9428124E-2</v>
      </c>
      <c r="R84" s="13">
        <v>3.1625801000000002E-2</v>
      </c>
      <c r="S84" s="13">
        <v>3.3414669000000001E-2</v>
      </c>
      <c r="T84" s="13">
        <v>9.1539374000000007E-2</v>
      </c>
      <c r="U84" s="13">
        <v>8.8014443999999997E-2</v>
      </c>
      <c r="V84" s="13">
        <v>8.6090004999999997E-2</v>
      </c>
      <c r="W84" s="13">
        <v>8.4648299999999996E-2</v>
      </c>
      <c r="X84" s="13">
        <v>8.2532121E-2</v>
      </c>
      <c r="Y84" s="13">
        <v>8.0852935000000001E-2</v>
      </c>
      <c r="Z84" s="13">
        <v>7.9429897999999999E-2</v>
      </c>
      <c r="AA84" s="13">
        <v>2.7069435999999999E-2</v>
      </c>
      <c r="AB84" s="13">
        <v>2.809797E-2</v>
      </c>
      <c r="AC84" s="13">
        <v>3.0284413E-2</v>
      </c>
      <c r="AD84" s="13">
        <v>3.3009829999999997E-2</v>
      </c>
      <c r="AE84" s="13">
        <v>3.456012E-2</v>
      </c>
      <c r="AF84" s="13">
        <v>3.6635168000000003E-2</v>
      </c>
      <c r="AG84" s="13">
        <v>3.7668380000000001E-2</v>
      </c>
      <c r="AH84" s="13">
        <v>7.3306024999999997E-2</v>
      </c>
      <c r="AI84" s="13">
        <v>7.4295475999999999E-2</v>
      </c>
      <c r="AJ84" s="13">
        <v>7.5934135E-2</v>
      </c>
      <c r="AK84" s="13">
        <v>7.6920343000000002E-2</v>
      </c>
      <c r="AL84" s="13">
        <v>7.7019330999999996E-2</v>
      </c>
      <c r="AM84" s="13">
        <v>7.5721795999999994E-2</v>
      </c>
      <c r="AN84" s="13">
        <v>7.5154733000000001E-2</v>
      </c>
      <c r="AO84" s="13">
        <v>0.10662696000000001</v>
      </c>
      <c r="AP84" s="14">
        <v>-0.12446559</v>
      </c>
      <c r="AQ84" s="14">
        <v>0.583751362</v>
      </c>
    </row>
    <row r="85" spans="1:43" hidden="1" x14ac:dyDescent="0.25">
      <c r="A85" s="15" t="s">
        <v>110</v>
      </c>
      <c r="B85" s="16" t="e">
        <f>VLOOKUP(Sheet1!D85,Sheet2!A82,1,FALSE)</f>
        <v>#N/A</v>
      </c>
      <c r="C85" s="15" t="s">
        <v>23</v>
      </c>
      <c r="D85" s="15" t="s">
        <v>26</v>
      </c>
      <c r="E85" s="16" t="s">
        <v>45</v>
      </c>
      <c r="F85" s="13">
        <v>6.0558476E-2</v>
      </c>
      <c r="G85" s="13">
        <v>6.1539274999999997E-2</v>
      </c>
      <c r="H85" s="13">
        <v>6.3384860000000001E-2</v>
      </c>
      <c r="I85" s="13">
        <v>6.5149171000000006E-2</v>
      </c>
      <c r="J85" s="13">
        <v>6.5910564000000005E-2</v>
      </c>
      <c r="K85" s="13">
        <v>6.6278239000000003E-2</v>
      </c>
      <c r="L85" s="13">
        <v>6.6487694E-2</v>
      </c>
      <c r="M85" s="13">
        <v>-7.3975394E-2</v>
      </c>
      <c r="N85" s="13">
        <v>-6.5733893000000002E-2</v>
      </c>
      <c r="O85" s="13">
        <v>-5.4870409000000002E-2</v>
      </c>
      <c r="P85" s="13">
        <v>-4.2620410999999997E-2</v>
      </c>
      <c r="Q85" s="13">
        <v>-3.2394988999999999E-2</v>
      </c>
      <c r="R85" s="13">
        <v>-2.3813216000000002E-2</v>
      </c>
      <c r="S85" s="13">
        <v>-1.7622854E-2</v>
      </c>
      <c r="T85" s="13">
        <v>0.21578229900000001</v>
      </c>
      <c r="U85" s="13">
        <v>0.20649600900000001</v>
      </c>
      <c r="V85" s="13">
        <v>0.19673353499999999</v>
      </c>
      <c r="W85" s="13">
        <v>0.185644016</v>
      </c>
      <c r="X85" s="13">
        <v>0.17381481300000001</v>
      </c>
      <c r="Y85" s="13">
        <v>0.16386476799999999</v>
      </c>
      <c r="Z85" s="13">
        <v>0.157244518</v>
      </c>
      <c r="AA85" s="13">
        <v>-6.2125106999999999E-2</v>
      </c>
      <c r="AB85" s="13">
        <v>-5.1897515999999998E-2</v>
      </c>
      <c r="AC85" s="13">
        <v>-4.4700196999999997E-2</v>
      </c>
      <c r="AD85" s="13">
        <v>-3.4204921999999999E-2</v>
      </c>
      <c r="AE85" s="13">
        <v>-2.5558114999999999E-2</v>
      </c>
      <c r="AF85" s="13">
        <v>-1.7202698999999998E-2</v>
      </c>
      <c r="AG85" s="13">
        <v>-1.0821020000000001E-2</v>
      </c>
      <c r="AH85" s="13">
        <v>0.199551174</v>
      </c>
      <c r="AI85" s="13">
        <v>0.18876651999999999</v>
      </c>
      <c r="AJ85" s="13">
        <v>0.18389411</v>
      </c>
      <c r="AK85" s="13">
        <v>0.174885349</v>
      </c>
      <c r="AL85" s="13">
        <v>0.16609944900000001</v>
      </c>
      <c r="AM85" s="13">
        <v>0.15696038900000001</v>
      </c>
      <c r="AN85" s="13">
        <v>0.14993146500000001</v>
      </c>
      <c r="AO85" s="13">
        <v>0.17880808300000001</v>
      </c>
      <c r="AP85" s="14">
        <v>-0.10604100700000001</v>
      </c>
      <c r="AQ85" s="14">
        <v>0.60161677199999997</v>
      </c>
    </row>
    <row r="86" spans="1:43" hidden="1" x14ac:dyDescent="0.25">
      <c r="A86" s="15" t="s">
        <v>110</v>
      </c>
      <c r="B86" s="16" t="e">
        <f>VLOOKUP(Sheet1!D86,Sheet2!A83,1,FALSE)</f>
        <v>#N/A</v>
      </c>
      <c r="C86" s="15" t="s">
        <v>23</v>
      </c>
      <c r="D86" s="15" t="s">
        <v>27</v>
      </c>
      <c r="E86" s="16" t="s">
        <v>47</v>
      </c>
      <c r="F86" s="13">
        <v>3.3750576999999997E-2</v>
      </c>
      <c r="G86" s="13">
        <v>3.57805E-2</v>
      </c>
      <c r="H86" s="13">
        <v>4.0177971999999999E-2</v>
      </c>
      <c r="I86" s="13">
        <v>4.5603957000000001E-2</v>
      </c>
      <c r="J86" s="13">
        <v>4.8876700000000002E-2</v>
      </c>
      <c r="K86" s="13">
        <v>5.0949732999999997E-2</v>
      </c>
      <c r="L86" s="13">
        <v>5.2356449999999999E-2</v>
      </c>
      <c r="M86" s="13">
        <v>-4.634923E-3</v>
      </c>
      <c r="N86" s="13">
        <v>6.62369E-4</v>
      </c>
      <c r="O86" s="13">
        <v>7.074599E-3</v>
      </c>
      <c r="P86" s="13">
        <v>1.5685041E-2</v>
      </c>
      <c r="Q86" s="13">
        <v>2.1671877999999999E-2</v>
      </c>
      <c r="R86" s="13">
        <v>2.5943694999999999E-2</v>
      </c>
      <c r="S86" s="13">
        <v>2.8887494E-2</v>
      </c>
      <c r="T86" s="13">
        <v>7.3306700000000002E-2</v>
      </c>
      <c r="U86" s="13">
        <v>7.1969598999999995E-2</v>
      </c>
      <c r="V86" s="13">
        <v>7.4012833E-2</v>
      </c>
      <c r="W86" s="13">
        <v>7.6037357E-2</v>
      </c>
      <c r="X86" s="13">
        <v>7.6919900999999999E-2</v>
      </c>
      <c r="Y86" s="13">
        <v>7.6454263999999994E-2</v>
      </c>
      <c r="Z86" s="13">
        <v>7.6260561000000004E-2</v>
      </c>
      <c r="AA86" s="13">
        <v>2.3599860000000001E-3</v>
      </c>
      <c r="AB86" s="13">
        <v>6.0415989999999999E-3</v>
      </c>
      <c r="AC86" s="13">
        <v>1.094295E-2</v>
      </c>
      <c r="AD86" s="13">
        <v>1.8979566E-2</v>
      </c>
      <c r="AE86" s="13">
        <v>2.3992955999999999E-2</v>
      </c>
      <c r="AF86" s="13">
        <v>2.8419148000000002E-2</v>
      </c>
      <c r="AG86" s="13">
        <v>3.0954334E-2</v>
      </c>
      <c r="AH86" s="13">
        <v>6.6144230999999998E-2</v>
      </c>
      <c r="AI86" s="13">
        <v>6.6416322999999999E-2</v>
      </c>
      <c r="AJ86" s="13">
        <v>7.0275493999999994E-2</v>
      </c>
      <c r="AK86" s="13">
        <v>7.2937929999999998E-2</v>
      </c>
      <c r="AL86" s="13">
        <v>7.4377182E-2</v>
      </c>
      <c r="AM86" s="13">
        <v>7.3983711999999993E-2</v>
      </c>
      <c r="AN86" s="13">
        <v>7.4211654000000002E-2</v>
      </c>
      <c r="AO86" s="13">
        <v>7.4110272000000005E-2</v>
      </c>
      <c r="AP86" s="14">
        <v>-0.290656476</v>
      </c>
      <c r="AQ86" s="14">
        <v>0.84164702999999996</v>
      </c>
    </row>
    <row r="87" spans="1:43" hidden="1" x14ac:dyDescent="0.25">
      <c r="A87" s="15" t="s">
        <v>110</v>
      </c>
      <c r="B87" s="16" t="e">
        <f>VLOOKUP(Sheet1!D87,Sheet2!A84,1,FALSE)</f>
        <v>#N/A</v>
      </c>
      <c r="C87" s="15" t="s">
        <v>23</v>
      </c>
      <c r="D87" s="15" t="s">
        <v>195</v>
      </c>
      <c r="E87" s="16" t="s">
        <v>45</v>
      </c>
      <c r="F87" s="13">
        <v>5.7388487000000002E-2</v>
      </c>
      <c r="G87" s="13">
        <v>5.7548159000000002E-2</v>
      </c>
      <c r="H87" s="13">
        <v>5.741392E-2</v>
      </c>
      <c r="I87" s="13">
        <v>5.6370852999999999E-2</v>
      </c>
      <c r="J87" s="13">
        <v>5.5226163000000002E-2</v>
      </c>
      <c r="K87" s="13">
        <v>5.4307173E-2</v>
      </c>
      <c r="L87" s="13">
        <v>5.3616521E-2</v>
      </c>
      <c r="M87" s="13">
        <v>2.6574889999999999E-3</v>
      </c>
      <c r="N87" s="13">
        <v>7.5756920000000002E-3</v>
      </c>
      <c r="O87" s="13">
        <v>1.0487656999999999E-2</v>
      </c>
      <c r="P87" s="13">
        <v>1.2552532999999999E-2</v>
      </c>
      <c r="Q87" s="13">
        <v>1.2914843000000001E-2</v>
      </c>
      <c r="R87" s="13">
        <v>1.4528362E-2</v>
      </c>
      <c r="S87" s="13">
        <v>1.6341260999999999E-2</v>
      </c>
      <c r="T87" s="13">
        <v>0.115644251</v>
      </c>
      <c r="U87" s="13">
        <v>0.11020951599999999</v>
      </c>
      <c r="V87" s="13">
        <v>0.106893558</v>
      </c>
      <c r="W87" s="13">
        <v>0.10240305700000001</v>
      </c>
      <c r="X87" s="13">
        <v>9.8728793999999995E-2</v>
      </c>
      <c r="Y87" s="13">
        <v>9.5510143000000006E-2</v>
      </c>
      <c r="Z87" s="13">
        <v>9.2211708000000003E-2</v>
      </c>
      <c r="AA87" s="13">
        <v>2.0856725E-2</v>
      </c>
      <c r="AB87" s="13">
        <v>1.7791922000000002E-2</v>
      </c>
      <c r="AC87" s="13">
        <v>1.8405978999999999E-2</v>
      </c>
      <c r="AD87" s="13">
        <v>1.8002707999999999E-2</v>
      </c>
      <c r="AE87" s="13">
        <v>1.625064E-2</v>
      </c>
      <c r="AF87" s="13">
        <v>1.7071268000000001E-2</v>
      </c>
      <c r="AG87" s="13">
        <v>1.8354881999999999E-2</v>
      </c>
      <c r="AH87" s="13">
        <v>9.5239571999999995E-2</v>
      </c>
      <c r="AI87" s="13">
        <v>9.8871645999999994E-2</v>
      </c>
      <c r="AJ87" s="13">
        <v>9.7929748999999996E-2</v>
      </c>
      <c r="AK87" s="13">
        <v>9.6198411999999997E-2</v>
      </c>
      <c r="AL87" s="13">
        <v>9.5710378999999998E-2</v>
      </c>
      <c r="AM87" s="13">
        <v>9.2918898E-2</v>
      </c>
      <c r="AN87" s="13">
        <v>9.0110386000000001E-2</v>
      </c>
      <c r="AO87" s="13">
        <v>0.13191698900000001</v>
      </c>
      <c r="AP87" s="14">
        <v>-4.2068125999999997E-2</v>
      </c>
      <c r="AQ87" s="14">
        <v>0.49239332299999999</v>
      </c>
    </row>
    <row r="88" spans="1:43" hidden="1" x14ac:dyDescent="0.25">
      <c r="A88" s="15" t="s">
        <v>110</v>
      </c>
      <c r="B88" s="16" t="e">
        <f>VLOOKUP(Sheet1!D88,Sheet2!A85,1,FALSE)</f>
        <v>#N/A</v>
      </c>
      <c r="C88" s="15" t="s">
        <v>23</v>
      </c>
      <c r="D88" s="15" t="s">
        <v>28</v>
      </c>
      <c r="E88" s="16" t="s">
        <v>45</v>
      </c>
      <c r="F88" s="13">
        <v>7.4750069000000002E-2</v>
      </c>
      <c r="G88" s="13">
        <v>7.5474376999999995E-2</v>
      </c>
      <c r="H88" s="13">
        <v>7.6699275999999997E-2</v>
      </c>
      <c r="I88" s="13">
        <v>7.7579302000000003E-2</v>
      </c>
      <c r="J88" s="13">
        <v>7.7737960999999994E-2</v>
      </c>
      <c r="K88" s="13">
        <v>7.7697872000000001E-2</v>
      </c>
      <c r="L88" s="13">
        <v>7.7621708999999997E-2</v>
      </c>
      <c r="M88" s="13">
        <v>8.3742480000000008E-3</v>
      </c>
      <c r="N88" s="13">
        <v>1.4827599E-2</v>
      </c>
      <c r="O88" s="13">
        <v>1.9847890999999999E-2</v>
      </c>
      <c r="P88" s="13">
        <v>2.4021766E-2</v>
      </c>
      <c r="Q88" s="13">
        <v>2.6942855000000002E-2</v>
      </c>
      <c r="R88" s="13">
        <v>2.9630666E-2</v>
      </c>
      <c r="S88" s="13">
        <v>3.2832558999999997E-2</v>
      </c>
      <c r="T88" s="13">
        <v>0.14613035099999999</v>
      </c>
      <c r="U88" s="13">
        <v>0.139956729</v>
      </c>
      <c r="V88" s="13">
        <v>0.137122944</v>
      </c>
      <c r="W88" s="13">
        <v>0.13461777</v>
      </c>
      <c r="X88" s="13">
        <v>0.13108225900000001</v>
      </c>
      <c r="Y88" s="13">
        <v>0.127376515</v>
      </c>
      <c r="Z88" s="13">
        <v>0.124083941</v>
      </c>
      <c r="AA88" s="13">
        <v>3.190962E-2</v>
      </c>
      <c r="AB88" s="13">
        <v>3.4228024000000003E-2</v>
      </c>
      <c r="AC88" s="13">
        <v>3.4235252000000001E-2</v>
      </c>
      <c r="AD88" s="13">
        <v>3.3303859999999998E-2</v>
      </c>
      <c r="AE88" s="13">
        <v>3.4615575000000003E-2</v>
      </c>
      <c r="AF88" s="13">
        <v>3.8501689999999998E-2</v>
      </c>
      <c r="AG88" s="13">
        <v>4.0177235999999998E-2</v>
      </c>
      <c r="AH88" s="13">
        <v>0.119413229</v>
      </c>
      <c r="AI88" s="13">
        <v>0.118406443</v>
      </c>
      <c r="AJ88" s="13">
        <v>0.12095</v>
      </c>
      <c r="AK88" s="13">
        <v>0.12379891699999999</v>
      </c>
      <c r="AL88" s="13">
        <v>0.12270218200000001</v>
      </c>
      <c r="AM88" s="13">
        <v>0.118409928</v>
      </c>
      <c r="AN88" s="13">
        <v>0.116447313</v>
      </c>
      <c r="AO88" s="13">
        <v>0.16832477700000001</v>
      </c>
      <c r="AP88" s="14">
        <v>-0.281237772</v>
      </c>
      <c r="AQ88" s="14">
        <v>0.609454096</v>
      </c>
    </row>
    <row r="89" spans="1:43" hidden="1" x14ac:dyDescent="0.25">
      <c r="A89" s="15" t="s">
        <v>52</v>
      </c>
      <c r="B89" s="16" t="e">
        <f>VLOOKUP(Sheet1!D89,Sheet2!A86,1,FALSE)</f>
        <v>#N/A</v>
      </c>
      <c r="C89" s="15" t="s">
        <v>15</v>
      </c>
      <c r="D89" s="15" t="s">
        <v>17</v>
      </c>
      <c r="E89" s="16" t="s">
        <v>29</v>
      </c>
      <c r="F89" s="13">
        <v>5.0424548999999999E-2</v>
      </c>
      <c r="G89" s="13">
        <v>5.2082746999999999E-2</v>
      </c>
      <c r="H89" s="13">
        <v>5.5569207000000002E-2</v>
      </c>
      <c r="I89" s="13">
        <v>5.9663551000000002E-2</v>
      </c>
      <c r="J89" s="13">
        <v>6.2002353000000003E-2</v>
      </c>
      <c r="K89" s="13">
        <v>6.3431357999999993E-2</v>
      </c>
      <c r="L89" s="13">
        <v>6.4381894999999995E-2</v>
      </c>
      <c r="M89" s="13">
        <v>-5.875379E-3</v>
      </c>
      <c r="N89" s="13">
        <v>1.9123E-4</v>
      </c>
      <c r="O89" s="13">
        <v>5.115301E-3</v>
      </c>
      <c r="P89" s="13">
        <v>9.7544050000000007E-3</v>
      </c>
      <c r="Q89" s="13">
        <v>1.4153572999999999E-2</v>
      </c>
      <c r="R89" s="13">
        <v>1.7777650999999998E-2</v>
      </c>
      <c r="S89" s="13">
        <v>2.0575774000000002E-2</v>
      </c>
      <c r="T89" s="13">
        <v>0.109693446</v>
      </c>
      <c r="U89" s="13">
        <v>0.10616738000000001</v>
      </c>
      <c r="V89" s="13">
        <v>0.10861929300000001</v>
      </c>
      <c r="W89" s="13">
        <v>0.111596027</v>
      </c>
      <c r="X89" s="13">
        <v>0.11231922499999999</v>
      </c>
      <c r="Y89" s="13">
        <v>0.110898976</v>
      </c>
      <c r="Z89" s="13">
        <v>0.109603744</v>
      </c>
      <c r="AA89" s="13">
        <v>1.9232981999999999E-2</v>
      </c>
      <c r="AB89" s="13">
        <v>1.9126664000000002E-2</v>
      </c>
      <c r="AC89" s="13">
        <v>1.7334280000000001E-2</v>
      </c>
      <c r="AD89" s="13">
        <v>1.8127059000000001E-2</v>
      </c>
      <c r="AE89" s="13">
        <v>2.2332405999999999E-2</v>
      </c>
      <c r="AF89" s="13">
        <v>2.2019614999999999E-2</v>
      </c>
      <c r="AG89" s="13">
        <v>2.3694999000000001E-2</v>
      </c>
      <c r="AH89" s="13">
        <v>8.2570669999999999E-2</v>
      </c>
      <c r="AI89" s="13">
        <v>8.6104550000000002E-2</v>
      </c>
      <c r="AJ89" s="13">
        <v>9.5241137000000003E-2</v>
      </c>
      <c r="AK89" s="13">
        <v>0.102894607</v>
      </c>
      <c r="AL89" s="13">
        <v>0.10321163799999999</v>
      </c>
      <c r="AM89" s="13">
        <v>0.106521087</v>
      </c>
      <c r="AN89" s="13">
        <v>0.106685903</v>
      </c>
      <c r="AO89" s="13">
        <v>0.150120584</v>
      </c>
      <c r="AP89" s="14">
        <v>-0.34481562700000001</v>
      </c>
      <c r="AQ89" s="14">
        <v>0.86814407599999999</v>
      </c>
    </row>
    <row r="90" spans="1:43" hidden="1" x14ac:dyDescent="0.25">
      <c r="A90" s="15" t="s">
        <v>52</v>
      </c>
      <c r="B90" s="16" t="e">
        <f>VLOOKUP(Sheet1!D90,Sheet2!A87,1,FALSE)</f>
        <v>#N/A</v>
      </c>
      <c r="C90" s="15" t="s">
        <v>15</v>
      </c>
      <c r="D90" s="15" t="s">
        <v>53</v>
      </c>
      <c r="E90" s="16" t="s">
        <v>66</v>
      </c>
      <c r="F90" s="13">
        <v>4.8874844000000001E-2</v>
      </c>
      <c r="G90" s="13">
        <v>5.0783044999999999E-2</v>
      </c>
      <c r="H90" s="13">
        <v>5.4875052000000001E-2</v>
      </c>
      <c r="I90" s="13">
        <v>5.9834495000000001E-2</v>
      </c>
      <c r="J90" s="13">
        <v>6.2764876999999997E-2</v>
      </c>
      <c r="K90" s="13">
        <v>6.4595106999999999E-2</v>
      </c>
      <c r="L90" s="13">
        <v>6.5827215999999994E-2</v>
      </c>
      <c r="M90" s="13">
        <v>-1.8541236999999999E-2</v>
      </c>
      <c r="N90" s="13">
        <v>-1.2212548E-2</v>
      </c>
      <c r="O90" s="13">
        <v>-6.1572620000000002E-3</v>
      </c>
      <c r="P90" s="13">
        <v>5.4885899999999996E-4</v>
      </c>
      <c r="Q90" s="13">
        <v>5.4286559999999996E-3</v>
      </c>
      <c r="R90" s="13">
        <v>1.0098906E-2</v>
      </c>
      <c r="S90" s="13">
        <v>1.3700959E-2</v>
      </c>
      <c r="T90" s="13">
        <v>0.120775626</v>
      </c>
      <c r="U90" s="13">
        <v>0.116965494</v>
      </c>
      <c r="V90" s="13">
        <v>0.11976453200000001</v>
      </c>
      <c r="W90" s="13">
        <v>0.123035329</v>
      </c>
      <c r="X90" s="13">
        <v>0.122925249</v>
      </c>
      <c r="Y90" s="13">
        <v>0.121840188</v>
      </c>
      <c r="Z90" s="13">
        <v>0.120401192</v>
      </c>
      <c r="AA90" s="13">
        <v>5.5578759999999998E-3</v>
      </c>
      <c r="AB90" s="13">
        <v>6.1919439999999996E-3</v>
      </c>
      <c r="AC90" s="13">
        <v>4.8810370000000004E-3</v>
      </c>
      <c r="AD90" s="13">
        <v>6.8804000000000001E-3</v>
      </c>
      <c r="AE90" s="13">
        <v>1.1734321000000001E-2</v>
      </c>
      <c r="AF90" s="13">
        <v>1.3820654999999999E-2</v>
      </c>
      <c r="AG90" s="13">
        <v>1.6721499000000001E-2</v>
      </c>
      <c r="AH90" s="13">
        <v>9.4057800999999996E-2</v>
      </c>
      <c r="AI90" s="13">
        <v>9.7350275999999999E-2</v>
      </c>
      <c r="AJ90" s="13">
        <v>0.10735636599999999</v>
      </c>
      <c r="AK90" s="13">
        <v>0.115573565</v>
      </c>
      <c r="AL90" s="13">
        <v>0.116369349</v>
      </c>
      <c r="AM90" s="13">
        <v>0.117912551</v>
      </c>
      <c r="AN90" s="13">
        <v>0.117304647</v>
      </c>
      <c r="AO90" s="13">
        <v>0.16641218599999999</v>
      </c>
      <c r="AP90" s="14">
        <v>-0.33813578399999999</v>
      </c>
      <c r="AQ90" s="14">
        <v>0.86906163000000003</v>
      </c>
    </row>
    <row r="91" spans="1:43" hidden="1" x14ac:dyDescent="0.25">
      <c r="A91" s="15" t="s">
        <v>52</v>
      </c>
      <c r="B91" s="16" t="e">
        <f>VLOOKUP(Sheet1!D91,Sheet2!A88,1,FALSE)</f>
        <v>#N/A</v>
      </c>
      <c r="C91" s="15" t="s">
        <v>15</v>
      </c>
      <c r="D91" s="15" t="s">
        <v>192</v>
      </c>
      <c r="E91" s="16" t="s">
        <v>30</v>
      </c>
      <c r="F91" s="13">
        <v>2.6505147E-2</v>
      </c>
      <c r="G91" s="13">
        <v>2.9461795999999998E-2</v>
      </c>
      <c r="H91" s="13">
        <v>3.610708E-2</v>
      </c>
      <c r="I91" s="13">
        <v>4.4741637000000001E-2</v>
      </c>
      <c r="J91" s="13">
        <v>5.0201595000000002E-2</v>
      </c>
      <c r="K91" s="13">
        <v>5.3754188000000001E-2</v>
      </c>
      <c r="L91" s="13">
        <v>5.6197920999999998E-2</v>
      </c>
      <c r="M91" s="13">
        <v>-3.0795474E-2</v>
      </c>
      <c r="N91" s="13">
        <v>-2.1080366E-2</v>
      </c>
      <c r="O91" s="13">
        <v>-9.4333360000000005E-3</v>
      </c>
      <c r="P91" s="13">
        <v>4.1533020000000002E-3</v>
      </c>
      <c r="Q91" s="13">
        <v>1.3214458E-2</v>
      </c>
      <c r="R91" s="13">
        <v>1.9408478E-2</v>
      </c>
      <c r="S91" s="13">
        <v>2.4245587999999998E-2</v>
      </c>
      <c r="T91" s="13">
        <v>8.6693584000000004E-2</v>
      </c>
      <c r="U91" s="13">
        <v>8.2385752000000007E-2</v>
      </c>
      <c r="V91" s="13">
        <v>8.3591288999999999E-2</v>
      </c>
      <c r="W91" s="13">
        <v>8.6851155999999999E-2</v>
      </c>
      <c r="X91" s="13">
        <v>8.8946302000000005E-2</v>
      </c>
      <c r="Y91" s="13">
        <v>8.9222527999999995E-2</v>
      </c>
      <c r="Z91" s="13">
        <v>8.9135018999999996E-2</v>
      </c>
      <c r="AA91" s="13">
        <v>-2.6628720000000002E-3</v>
      </c>
      <c r="AB91" s="13">
        <v>1.691445E-3</v>
      </c>
      <c r="AC91" s="13">
        <v>8.9149599999999996E-3</v>
      </c>
      <c r="AD91" s="13">
        <v>1.7744988999999999E-2</v>
      </c>
      <c r="AE91" s="13">
        <v>2.3911340999999999E-2</v>
      </c>
      <c r="AF91" s="13">
        <v>2.9058897E-2</v>
      </c>
      <c r="AG91" s="13">
        <v>3.1430884999999999E-2</v>
      </c>
      <c r="AH91" s="13">
        <v>5.6526211E-2</v>
      </c>
      <c r="AI91" s="13">
        <v>5.8002037999999999E-2</v>
      </c>
      <c r="AJ91" s="13">
        <v>6.4032078000000006E-2</v>
      </c>
      <c r="AK91" s="13">
        <v>7.2454397000000004E-2</v>
      </c>
      <c r="AL91" s="13">
        <v>7.7166886000000004E-2</v>
      </c>
      <c r="AM91" s="13">
        <v>7.9042114999999996E-2</v>
      </c>
      <c r="AN91" s="13">
        <v>8.1559671E-2</v>
      </c>
      <c r="AO91" s="13">
        <v>0.16316646200000001</v>
      </c>
      <c r="AP91" s="14">
        <v>-0.33706122999999999</v>
      </c>
      <c r="AQ91" s="14">
        <v>0.81825810899999996</v>
      </c>
    </row>
    <row r="92" spans="1:43" hidden="1" x14ac:dyDescent="0.25">
      <c r="A92" s="15" t="s">
        <v>52</v>
      </c>
      <c r="B92" s="16" t="e">
        <f>VLOOKUP(Sheet1!D92,Sheet2!A89,1,FALSE)</f>
        <v>#N/A</v>
      </c>
      <c r="C92" s="15" t="s">
        <v>15</v>
      </c>
      <c r="D92" s="15" t="s">
        <v>18</v>
      </c>
      <c r="E92" s="16" t="s">
        <v>31</v>
      </c>
      <c r="F92" s="13">
        <v>3.8980210000000001E-2</v>
      </c>
      <c r="G92" s="13">
        <v>4.2381126999999998E-2</v>
      </c>
      <c r="H92" s="13">
        <v>5.0099591999999998E-2</v>
      </c>
      <c r="I92" s="13">
        <v>6.0266043999999998E-2</v>
      </c>
      <c r="J92" s="13">
        <v>6.6774655000000002E-2</v>
      </c>
      <c r="K92" s="13">
        <v>7.1039773000000001E-2</v>
      </c>
      <c r="L92" s="13">
        <v>7.3984510000000003E-2</v>
      </c>
      <c r="M92" s="13">
        <v>-2.7207556000000001E-2</v>
      </c>
      <c r="N92" s="13">
        <v>-1.4466254E-2</v>
      </c>
      <c r="O92" s="13">
        <v>-1.31521E-4</v>
      </c>
      <c r="P92" s="13">
        <v>1.5310893000000001E-2</v>
      </c>
      <c r="Q92" s="13">
        <v>2.5833987999999999E-2</v>
      </c>
      <c r="R92" s="13">
        <v>3.3928044999999997E-2</v>
      </c>
      <c r="S92" s="13">
        <v>3.9130469000000001E-2</v>
      </c>
      <c r="T92" s="13">
        <v>0.108390468</v>
      </c>
      <c r="U92" s="13">
        <v>0.103007747</v>
      </c>
      <c r="V92" s="13">
        <v>0.103358968</v>
      </c>
      <c r="W92" s="13">
        <v>0.107037332</v>
      </c>
      <c r="X92" s="13">
        <v>0.108961277</v>
      </c>
      <c r="Y92" s="13">
        <v>0.10981295000000001</v>
      </c>
      <c r="Z92" s="13">
        <v>0.110435826</v>
      </c>
      <c r="AA92" s="13">
        <v>1.0270351E-2</v>
      </c>
      <c r="AB92" s="13">
        <v>1.5653599000000001E-2</v>
      </c>
      <c r="AC92" s="13">
        <v>2.2565690999999999E-2</v>
      </c>
      <c r="AD92" s="13">
        <v>3.3535279000000001E-2</v>
      </c>
      <c r="AE92" s="13">
        <v>4.2160626E-2</v>
      </c>
      <c r="AF92" s="13">
        <v>4.7087548999999999E-2</v>
      </c>
      <c r="AG92" s="13">
        <v>5.0342497E-2</v>
      </c>
      <c r="AH92" s="13">
        <v>6.8505945999999998E-2</v>
      </c>
      <c r="AI92" s="13">
        <v>6.9812008999999994E-2</v>
      </c>
      <c r="AJ92" s="13">
        <v>7.8374885000000005E-2</v>
      </c>
      <c r="AK92" s="13">
        <v>8.7688159000000002E-2</v>
      </c>
      <c r="AL92" s="13">
        <v>9.1970024999999997E-2</v>
      </c>
      <c r="AM92" s="13">
        <v>9.5539908000000007E-2</v>
      </c>
      <c r="AN92" s="13">
        <v>9.8158677E-2</v>
      </c>
      <c r="AO92" s="13">
        <v>0.19358694700000001</v>
      </c>
      <c r="AP92" s="14">
        <v>-0.272435331</v>
      </c>
      <c r="AQ92" s="14">
        <v>0.65324095800000004</v>
      </c>
    </row>
    <row r="93" spans="1:43" hidden="1" x14ac:dyDescent="0.25">
      <c r="A93" s="15" t="s">
        <v>52</v>
      </c>
      <c r="B93" s="16" t="e">
        <f>VLOOKUP(Sheet1!D93,Sheet2!A90,1,FALSE)</f>
        <v>#N/A</v>
      </c>
      <c r="C93" s="15" t="s">
        <v>15</v>
      </c>
      <c r="D93" s="15" t="s">
        <v>54</v>
      </c>
      <c r="E93" s="16" t="s">
        <v>67</v>
      </c>
      <c r="F93" s="13">
        <v>3.2260644999999998E-2</v>
      </c>
      <c r="G93" s="13">
        <v>3.4847392999999997E-2</v>
      </c>
      <c r="H93" s="13">
        <v>4.0591857000000002E-2</v>
      </c>
      <c r="I93" s="13">
        <v>4.7928973999999999E-2</v>
      </c>
      <c r="J93" s="13">
        <v>5.2495080999999999E-2</v>
      </c>
      <c r="K93" s="13">
        <v>5.5438568000000001E-2</v>
      </c>
      <c r="L93" s="13">
        <v>5.7453532000000002E-2</v>
      </c>
      <c r="M93" s="13">
        <v>-3.8272417000000003E-2</v>
      </c>
      <c r="N93" s="13">
        <v>-2.8455524999999999E-2</v>
      </c>
      <c r="O93" s="13">
        <v>-1.7455147000000001E-2</v>
      </c>
      <c r="P93" s="13">
        <v>-6.1570649999999998E-3</v>
      </c>
      <c r="Q93" s="13">
        <v>1.3720620000000001E-3</v>
      </c>
      <c r="R93" s="13">
        <v>7.3870480000000002E-3</v>
      </c>
      <c r="S93" s="13">
        <v>1.2082977999999999E-2</v>
      </c>
      <c r="T93" s="13">
        <v>0.108180805</v>
      </c>
      <c r="U93" s="13">
        <v>0.102041255</v>
      </c>
      <c r="V93" s="13">
        <v>0.1033693</v>
      </c>
      <c r="W93" s="13">
        <v>0.104846203</v>
      </c>
      <c r="X93" s="13">
        <v>0.106013069</v>
      </c>
      <c r="Y93" s="13">
        <v>0.10584109799999999</v>
      </c>
      <c r="Z93" s="13">
        <v>0.104938827</v>
      </c>
      <c r="AA93" s="13">
        <v>-7.4094929999999996E-3</v>
      </c>
      <c r="AB93" s="13">
        <v>-4.4078010000000003E-3</v>
      </c>
      <c r="AC93" s="13">
        <v>1.477087E-3</v>
      </c>
      <c r="AD93" s="13">
        <v>7.9838900000000004E-3</v>
      </c>
      <c r="AE93" s="13">
        <v>1.2331023999999999E-2</v>
      </c>
      <c r="AF93" s="13">
        <v>1.7110955000000001E-2</v>
      </c>
      <c r="AG93" s="13">
        <v>2.1610275000000002E-2</v>
      </c>
      <c r="AH93" s="13">
        <v>7.3516251000000005E-2</v>
      </c>
      <c r="AI93" s="13">
        <v>7.5650386999999999E-2</v>
      </c>
      <c r="AJ93" s="13">
        <v>8.1234335000000005E-2</v>
      </c>
      <c r="AK93" s="13">
        <v>8.9457054999999994E-2</v>
      </c>
      <c r="AL93" s="13">
        <v>9.4252659000000003E-2</v>
      </c>
      <c r="AM93" s="13">
        <v>9.5210474000000003E-2</v>
      </c>
      <c r="AN93" s="13">
        <v>9.4554376999999995E-2</v>
      </c>
      <c r="AO93" s="13">
        <v>0.19328046500000001</v>
      </c>
      <c r="AP93" s="14">
        <v>-0.33917637299999998</v>
      </c>
      <c r="AQ93" s="14">
        <v>0.93408110300000002</v>
      </c>
    </row>
    <row r="94" spans="1:43" hidden="1" x14ac:dyDescent="0.25">
      <c r="A94" s="15" t="s">
        <v>52</v>
      </c>
      <c r="B94" s="16" t="e">
        <f>VLOOKUP(Sheet1!D94,Sheet2!A91,1,FALSE)</f>
        <v>#N/A</v>
      </c>
      <c r="C94" s="15" t="s">
        <v>15</v>
      </c>
      <c r="D94" s="15" t="s">
        <v>55</v>
      </c>
      <c r="E94" s="16" t="s">
        <v>68</v>
      </c>
      <c r="F94" s="13">
        <v>3.2139275000000002E-2</v>
      </c>
      <c r="G94" s="13">
        <v>3.4445113999999999E-2</v>
      </c>
      <c r="H94" s="13">
        <v>3.9508553000000002E-2</v>
      </c>
      <c r="I94" s="13">
        <v>4.5870534999999997E-2</v>
      </c>
      <c r="J94" s="13">
        <v>4.9768095999999998E-2</v>
      </c>
      <c r="K94" s="13">
        <v>5.2257270000000001E-2</v>
      </c>
      <c r="L94" s="13">
        <v>5.3952936E-2</v>
      </c>
      <c r="M94" s="13">
        <v>-1.728795E-2</v>
      </c>
      <c r="N94" s="13">
        <v>-9.3333240000000005E-3</v>
      </c>
      <c r="O94" s="13">
        <v>5.5537999999999996E-4</v>
      </c>
      <c r="P94" s="13">
        <v>1.1592867E-2</v>
      </c>
      <c r="Q94" s="13">
        <v>1.8877681E-2</v>
      </c>
      <c r="R94" s="13">
        <v>2.3461171999999999E-2</v>
      </c>
      <c r="S94" s="13">
        <v>2.7360486999999999E-2</v>
      </c>
      <c r="T94" s="13">
        <v>8.4046354000000004E-2</v>
      </c>
      <c r="U94" s="13">
        <v>7.9740239000000004E-2</v>
      </c>
      <c r="V94" s="13">
        <v>7.9622116000000007E-2</v>
      </c>
      <c r="W94" s="13">
        <v>8.0714701999999999E-2</v>
      </c>
      <c r="X94" s="13">
        <v>8.2028796000000001E-2</v>
      </c>
      <c r="Y94" s="13">
        <v>8.1644798000000005E-2</v>
      </c>
      <c r="Z94" s="13">
        <v>8.1584093999999996E-2</v>
      </c>
      <c r="AA94" s="13">
        <v>1.2013299E-2</v>
      </c>
      <c r="AB94" s="13">
        <v>1.5036447999999999E-2</v>
      </c>
      <c r="AC94" s="13">
        <v>2.0039444999999999E-2</v>
      </c>
      <c r="AD94" s="13">
        <v>2.4431049999999999E-2</v>
      </c>
      <c r="AE94" s="13">
        <v>2.9790589999999999E-2</v>
      </c>
      <c r="AF94" s="13">
        <v>3.3354599999999998E-2</v>
      </c>
      <c r="AG94" s="13">
        <v>3.5351553000000001E-2</v>
      </c>
      <c r="AH94" s="13">
        <v>5.2665496999999999E-2</v>
      </c>
      <c r="AI94" s="13">
        <v>5.4224896000000002E-2</v>
      </c>
      <c r="AJ94" s="13">
        <v>5.9349262E-2</v>
      </c>
      <c r="AK94" s="13">
        <v>6.775871E-2</v>
      </c>
      <c r="AL94" s="13">
        <v>7.0133159E-2</v>
      </c>
      <c r="AM94" s="13">
        <v>7.1505716999999996E-2</v>
      </c>
      <c r="AN94" s="13">
        <v>7.2888516E-2</v>
      </c>
      <c r="AO94" s="13">
        <v>0.14886217800000001</v>
      </c>
      <c r="AP94" s="14">
        <v>-0.31467931799999999</v>
      </c>
      <c r="AQ94" s="14">
        <v>1</v>
      </c>
    </row>
    <row r="95" spans="1:43" hidden="1" x14ac:dyDescent="0.25">
      <c r="A95" s="15" t="s">
        <v>52</v>
      </c>
      <c r="B95" s="16" t="e">
        <f>VLOOKUP(Sheet1!D95,Sheet2!A92,1,FALSE)</f>
        <v>#N/A</v>
      </c>
      <c r="C95" s="15" t="s">
        <v>15</v>
      </c>
      <c r="D95" s="15" t="s">
        <v>171</v>
      </c>
      <c r="E95" s="16" t="s">
        <v>164</v>
      </c>
      <c r="F95" s="13">
        <v>4.8467228000000001E-2</v>
      </c>
      <c r="G95" s="13">
        <v>4.9035180999999997E-2</v>
      </c>
      <c r="H95" s="13">
        <v>4.9890941000000001E-2</v>
      </c>
      <c r="I95" s="13">
        <v>5.0248089000000003E-2</v>
      </c>
      <c r="J95" s="13">
        <v>5.0044298000000001E-2</v>
      </c>
      <c r="K95" s="13">
        <v>4.9754358999999998E-2</v>
      </c>
      <c r="L95" s="13">
        <v>4.9501021999999999E-2</v>
      </c>
      <c r="M95" s="13">
        <v>-8.8922628000000004E-2</v>
      </c>
      <c r="N95" s="13">
        <v>-8.2621803999999993E-2</v>
      </c>
      <c r="O95" s="13">
        <v>-8.9695435000000004E-2</v>
      </c>
      <c r="P95" s="13">
        <v>-9.7237733000000007E-2</v>
      </c>
      <c r="Q95" s="13">
        <v>-9.6957186000000001E-2</v>
      </c>
      <c r="R95" s="13">
        <v>-9.2240353999999997E-2</v>
      </c>
      <c r="S95" s="13">
        <v>-8.5892985000000005E-2</v>
      </c>
      <c r="T95" s="13">
        <v>0.204722986</v>
      </c>
      <c r="U95" s="13">
        <v>0.20106287</v>
      </c>
      <c r="V95" s="13">
        <v>0.21245952600000001</v>
      </c>
      <c r="W95" s="13">
        <v>0.22155899600000001</v>
      </c>
      <c r="X95" s="13">
        <v>0.22297087600000001</v>
      </c>
      <c r="Y95" s="13">
        <v>0.21329462399999999</v>
      </c>
      <c r="Z95" s="13">
        <v>0.203621357</v>
      </c>
      <c r="AA95" s="13">
        <v>-5.5741194000000001E-2</v>
      </c>
      <c r="AB95" s="13">
        <v>-5.7676948999999998E-2</v>
      </c>
      <c r="AC95" s="13">
        <v>-7.7231769000000006E-2</v>
      </c>
      <c r="AD95" s="13">
        <v>-8.5820489999999999E-2</v>
      </c>
      <c r="AE95" s="13">
        <v>-9.1964632000000004E-2</v>
      </c>
      <c r="AF95" s="13">
        <v>-9.1662646E-2</v>
      </c>
      <c r="AG95" s="13">
        <v>-8.6643319999999996E-2</v>
      </c>
      <c r="AH95" s="13">
        <v>0.164176185</v>
      </c>
      <c r="AI95" s="13">
        <v>0.16783182699999999</v>
      </c>
      <c r="AJ95" s="13">
        <v>0.19452641100000001</v>
      </c>
      <c r="AK95" s="13">
        <v>0.206569436</v>
      </c>
      <c r="AL95" s="13">
        <v>0.21426308499999999</v>
      </c>
      <c r="AM95" s="13">
        <v>0.21318828500000001</v>
      </c>
      <c r="AN95" s="13">
        <v>0.20593895400000001</v>
      </c>
      <c r="AO95" s="13">
        <v>0.31085046300000002</v>
      </c>
      <c r="AP95" s="14">
        <v>-0.16070932499999999</v>
      </c>
      <c r="AQ95" s="14">
        <v>0.25092049599999999</v>
      </c>
    </row>
    <row r="96" spans="1:43" hidden="1" x14ac:dyDescent="0.25">
      <c r="A96" s="15" t="s">
        <v>52</v>
      </c>
      <c r="B96" s="16" t="e">
        <f>VLOOKUP(Sheet1!D96,Sheet2!A93,1,FALSE)</f>
        <v>#N/A</v>
      </c>
      <c r="C96" s="15" t="s">
        <v>15</v>
      </c>
      <c r="D96" s="15" t="s">
        <v>170</v>
      </c>
      <c r="E96" s="16" t="s">
        <v>165</v>
      </c>
      <c r="F96" s="13">
        <v>3.8015096999999998E-2</v>
      </c>
      <c r="G96" s="13">
        <v>4.2051312E-2</v>
      </c>
      <c r="H96" s="13">
        <v>5.1316963E-2</v>
      </c>
      <c r="I96" s="13">
        <v>6.3715394999999994E-2</v>
      </c>
      <c r="J96" s="13">
        <v>7.1765289999999995E-2</v>
      </c>
      <c r="K96" s="13">
        <v>7.7082831000000004E-2</v>
      </c>
      <c r="L96" s="13">
        <v>8.0769628999999996E-2</v>
      </c>
      <c r="M96" s="13">
        <v>-6.4311038000000001E-2</v>
      </c>
      <c r="N96" s="13">
        <v>-5.0881836999999999E-2</v>
      </c>
      <c r="O96" s="13">
        <v>-3.7616899000000002E-2</v>
      </c>
      <c r="P96" s="13">
        <v>-2.2362422999999999E-2</v>
      </c>
      <c r="Q96" s="13">
        <v>-1.1258440999999999E-2</v>
      </c>
      <c r="R96" s="13">
        <v>-2.0310279999999998E-3</v>
      </c>
      <c r="S96" s="13">
        <v>5.5416140000000003E-3</v>
      </c>
      <c r="T96" s="13">
        <v>0.15132910399999999</v>
      </c>
      <c r="U96" s="13">
        <v>0.14400664599999999</v>
      </c>
      <c r="V96" s="13">
        <v>0.14855247599999999</v>
      </c>
      <c r="W96" s="13">
        <v>0.15704151499999999</v>
      </c>
      <c r="X96" s="13">
        <v>0.16085075400000001</v>
      </c>
      <c r="Y96" s="13">
        <v>0.16264867899999999</v>
      </c>
      <c r="Z96" s="13">
        <v>0.162567199</v>
      </c>
      <c r="AA96" s="13">
        <v>-3.0471903000000002E-2</v>
      </c>
      <c r="AB96" s="13">
        <v>-2.7237867999999998E-2</v>
      </c>
      <c r="AC96" s="13">
        <v>-2.3687481E-2</v>
      </c>
      <c r="AD96" s="13">
        <v>-1.1941172E-2</v>
      </c>
      <c r="AE96" s="13">
        <v>-5.0616259999999996E-3</v>
      </c>
      <c r="AF96" s="13">
        <v>3.2485909999999999E-3</v>
      </c>
      <c r="AG96" s="13">
        <v>8.2165620000000002E-3</v>
      </c>
      <c r="AH96" s="13">
        <v>0.111339986</v>
      </c>
      <c r="AI96" s="13">
        <v>0.11627591399999999</v>
      </c>
      <c r="AJ96" s="13">
        <v>0.13208356600000001</v>
      </c>
      <c r="AK96" s="13">
        <v>0.145165075</v>
      </c>
      <c r="AL96" s="13">
        <v>0.15452461100000001</v>
      </c>
      <c r="AM96" s="13">
        <v>0.15635091800000001</v>
      </c>
      <c r="AN96" s="13">
        <v>0.158543774</v>
      </c>
      <c r="AO96" s="13">
        <v>0.26374149299999999</v>
      </c>
      <c r="AP96" s="14">
        <v>-0.21708296899999999</v>
      </c>
      <c r="AQ96" s="14">
        <v>0.42292012000000001</v>
      </c>
    </row>
    <row r="97" spans="1:43" hidden="1" x14ac:dyDescent="0.25">
      <c r="A97" s="15" t="s">
        <v>52</v>
      </c>
      <c r="B97" s="16" t="e">
        <f>VLOOKUP(Sheet1!D97,Sheet2!A94,1,FALSE)</f>
        <v>#N/A</v>
      </c>
      <c r="C97" s="15" t="s">
        <v>20</v>
      </c>
      <c r="D97" s="15" t="s">
        <v>22</v>
      </c>
      <c r="E97" s="16" t="s">
        <v>41</v>
      </c>
      <c r="F97" s="13">
        <v>1.7487355E-2</v>
      </c>
      <c r="G97" s="13">
        <v>1.8488464999999999E-2</v>
      </c>
      <c r="H97" s="13">
        <v>2.0403915000000002E-2</v>
      </c>
      <c r="I97" s="13">
        <v>2.2289837E-2</v>
      </c>
      <c r="J97" s="13">
        <v>2.3137906999999999E-2</v>
      </c>
      <c r="K97" s="13">
        <v>2.3562884999999999E-2</v>
      </c>
      <c r="L97" s="13">
        <v>2.3811377000000002E-2</v>
      </c>
      <c r="M97" s="13">
        <v>-1.5867063000000001E-2</v>
      </c>
      <c r="N97" s="13">
        <v>-1.1531539E-2</v>
      </c>
      <c r="O97" s="13">
        <v>-7.5068269999999998E-3</v>
      </c>
      <c r="P97" s="13">
        <v>-2.9478120000000002E-3</v>
      </c>
      <c r="Q97" s="13">
        <v>-2.03353E-4</v>
      </c>
      <c r="R97" s="13">
        <v>1.6520790000000001E-3</v>
      </c>
      <c r="S97" s="13">
        <v>3.0731719999999999E-3</v>
      </c>
      <c r="T97" s="13">
        <v>5.2091986999999999E-2</v>
      </c>
      <c r="U97" s="13">
        <v>4.9717469E-2</v>
      </c>
      <c r="V97" s="13">
        <v>4.8964045999999997E-2</v>
      </c>
      <c r="W97" s="13">
        <v>4.8254725999999998E-2</v>
      </c>
      <c r="X97" s="13">
        <v>4.7363036999999997E-2</v>
      </c>
      <c r="Y97" s="13">
        <v>4.6014713999999998E-2</v>
      </c>
      <c r="Z97" s="13">
        <v>4.4994597999999997E-2</v>
      </c>
      <c r="AA97" s="13">
        <v>-3.0764630000000002E-3</v>
      </c>
      <c r="AB97" s="13">
        <v>-1.7478459999999999E-3</v>
      </c>
      <c r="AC97" s="13">
        <v>-1.2858069999999999E-3</v>
      </c>
      <c r="AD97" s="13">
        <v>1.251959E-3</v>
      </c>
      <c r="AE97" s="13">
        <v>3.0561849999999999E-3</v>
      </c>
      <c r="AF97" s="13">
        <v>4.7169000000000004E-3</v>
      </c>
      <c r="AG97" s="13">
        <v>5.9416620000000003E-3</v>
      </c>
      <c r="AH97" s="13">
        <v>3.8475351999999997E-2</v>
      </c>
      <c r="AI97" s="13">
        <v>3.9135005E-2</v>
      </c>
      <c r="AJ97" s="13">
        <v>4.2564686999999997E-2</v>
      </c>
      <c r="AK97" s="13">
        <v>4.3769756E-2</v>
      </c>
      <c r="AL97" s="13">
        <v>4.3621676999999998E-2</v>
      </c>
      <c r="AM97" s="13">
        <v>4.2762375999999998E-2</v>
      </c>
      <c r="AN97" s="13">
        <v>4.1998531999999998E-2</v>
      </c>
      <c r="AO97" s="13">
        <v>8.1403900000000001E-2</v>
      </c>
      <c r="AP97" s="14">
        <v>-6.8732941000000006E-2</v>
      </c>
      <c r="AQ97" s="14">
        <v>0.21858825500000001</v>
      </c>
    </row>
    <row r="98" spans="1:43" hidden="1" x14ac:dyDescent="0.25">
      <c r="A98" s="15" t="s">
        <v>52</v>
      </c>
      <c r="B98" s="16" t="e">
        <f>VLOOKUP(Sheet1!D98,Sheet2!A95,1,FALSE)</f>
        <v>#N/A</v>
      </c>
      <c r="C98" s="15" t="s">
        <v>20</v>
      </c>
      <c r="D98" s="15" t="s">
        <v>56</v>
      </c>
      <c r="E98" s="16" t="s">
        <v>69</v>
      </c>
      <c r="F98" s="13">
        <v>-8.7780159999999996E-3</v>
      </c>
      <c r="G98" s="13">
        <v>-5.9681200000000004E-3</v>
      </c>
      <c r="H98" s="13">
        <v>3.3915799999999999E-4</v>
      </c>
      <c r="I98" s="13">
        <v>8.5195459999999994E-3</v>
      </c>
      <c r="J98" s="13">
        <v>1.3683628999999999E-2</v>
      </c>
      <c r="K98" s="13">
        <v>1.704044E-2</v>
      </c>
      <c r="L98" s="13">
        <v>1.9348331999999999E-2</v>
      </c>
      <c r="M98" s="13">
        <v>-2.2251750000000001E-2</v>
      </c>
      <c r="N98" s="13">
        <v>-1.8745252E-2</v>
      </c>
      <c r="O98" s="13">
        <v>-1.3214866E-2</v>
      </c>
      <c r="P98" s="13">
        <v>-6.044949E-3</v>
      </c>
      <c r="Q98" s="13">
        <v>-1.0089439999999999E-3</v>
      </c>
      <c r="R98" s="13">
        <v>2.7576520000000002E-3</v>
      </c>
      <c r="S98" s="13">
        <v>5.5280679999999997E-3</v>
      </c>
      <c r="T98" s="13">
        <v>5.1614850000000004E-3</v>
      </c>
      <c r="U98" s="13">
        <v>7.0602169999999997E-3</v>
      </c>
      <c r="V98" s="13">
        <v>1.4120716E-2</v>
      </c>
      <c r="W98" s="13">
        <v>2.3372938999999999E-2</v>
      </c>
      <c r="X98" s="13">
        <v>2.8570122999999999E-2</v>
      </c>
      <c r="Y98" s="13">
        <v>3.1468268000000001E-2</v>
      </c>
      <c r="Z98" s="13">
        <v>3.3160407000000003E-2</v>
      </c>
      <c r="AA98" s="13">
        <v>-1.5671449E-2</v>
      </c>
      <c r="AB98" s="13">
        <v>-1.3753214E-2</v>
      </c>
      <c r="AC98" s="13">
        <v>-9.9703250000000004E-3</v>
      </c>
      <c r="AD98" s="13">
        <v>-3.3703019999999999E-3</v>
      </c>
      <c r="AE98" s="13">
        <v>1.1312990000000001E-3</v>
      </c>
      <c r="AF98" s="13">
        <v>4.1456599999999998E-3</v>
      </c>
      <c r="AG98" s="13">
        <v>6.1064780000000003E-3</v>
      </c>
      <c r="AH98" s="13">
        <v>-1.836308E-3</v>
      </c>
      <c r="AI98" s="13">
        <v>1.8784279999999999E-3</v>
      </c>
      <c r="AJ98" s="13">
        <v>1.0755997999999999E-2</v>
      </c>
      <c r="AK98" s="13">
        <v>2.0551239999999998E-2</v>
      </c>
      <c r="AL98" s="13">
        <v>2.6393342E-2</v>
      </c>
      <c r="AM98" s="13">
        <v>3.0100808999999999E-2</v>
      </c>
      <c r="AN98" s="13">
        <v>3.2764474000000002E-2</v>
      </c>
      <c r="AO98" s="13">
        <v>3.9402781999999997E-2</v>
      </c>
      <c r="AP98" s="14">
        <v>0.367503195</v>
      </c>
      <c r="AQ98" s="14">
        <v>0.25480266000000001</v>
      </c>
    </row>
    <row r="99" spans="1:43" hidden="1" x14ac:dyDescent="0.25">
      <c r="A99" s="15" t="s">
        <v>52</v>
      </c>
      <c r="B99" s="16" t="e">
        <f>VLOOKUP(Sheet1!D99,Sheet2!A96,1,FALSE)</f>
        <v>#N/A</v>
      </c>
      <c r="C99" s="15" t="s">
        <v>20</v>
      </c>
      <c r="D99" s="15" t="s">
        <v>174</v>
      </c>
      <c r="E99" s="16" t="s">
        <v>70</v>
      </c>
      <c r="F99" s="13">
        <v>-1.4474168000000001E-2</v>
      </c>
      <c r="G99" s="13">
        <v>-1.1779178E-2</v>
      </c>
      <c r="H99" s="13">
        <v>-5.7479330000000002E-3</v>
      </c>
      <c r="I99" s="13">
        <v>2.0412429999999999E-3</v>
      </c>
      <c r="J99" s="13">
        <v>6.9390959999999996E-3</v>
      </c>
      <c r="K99" s="13">
        <v>1.0115605E-2</v>
      </c>
      <c r="L99" s="13">
        <v>1.2296948E-2</v>
      </c>
      <c r="M99" s="13">
        <v>-3.3277425999999999E-2</v>
      </c>
      <c r="N99" s="13">
        <v>-2.9346853999999999E-2</v>
      </c>
      <c r="O99" s="13">
        <v>-2.3933672E-2</v>
      </c>
      <c r="P99" s="13">
        <v>-1.7194208999999998E-2</v>
      </c>
      <c r="Q99" s="13">
        <v>-1.1917092000000001E-2</v>
      </c>
      <c r="R99" s="13">
        <v>-7.9500130000000006E-3</v>
      </c>
      <c r="S99" s="13">
        <v>-5.0975589999999998E-3</v>
      </c>
      <c r="T99" s="13">
        <v>4.4272000000000001E-3</v>
      </c>
      <c r="U99" s="13">
        <v>5.8549090000000002E-3</v>
      </c>
      <c r="V99" s="13">
        <v>1.2681951E-2</v>
      </c>
      <c r="W99" s="13">
        <v>2.1708557999999999E-2</v>
      </c>
      <c r="X99" s="13">
        <v>2.6252754E-2</v>
      </c>
      <c r="Y99" s="13">
        <v>2.8749263000000001E-2</v>
      </c>
      <c r="Z99" s="13">
        <v>2.9936304E-2</v>
      </c>
      <c r="AA99" s="13">
        <v>-2.5324914E-2</v>
      </c>
      <c r="AB99" s="13">
        <v>-2.3399025E-2</v>
      </c>
      <c r="AC99" s="13">
        <v>-1.9603393E-2</v>
      </c>
      <c r="AD99" s="13">
        <v>-1.4790859999999999E-2</v>
      </c>
      <c r="AE99" s="13">
        <v>-9.9365129999999992E-3</v>
      </c>
      <c r="AF99" s="13">
        <v>-6.7444269999999999E-3</v>
      </c>
      <c r="AG99" s="13">
        <v>-3.809116E-3</v>
      </c>
      <c r="AH99" s="13">
        <v>-3.5000000000000001E-3</v>
      </c>
      <c r="AI99" s="13">
        <v>-2.1100000000000001E-5</v>
      </c>
      <c r="AJ99" s="13">
        <v>8.3033399999999993E-3</v>
      </c>
      <c r="AK99" s="13">
        <v>1.9160918999999998E-2</v>
      </c>
      <c r="AL99" s="13">
        <v>2.4102350000000002E-2</v>
      </c>
      <c r="AM99" s="13">
        <v>2.7261829000000001E-2</v>
      </c>
      <c r="AN99" s="13">
        <v>2.8663408000000001E-2</v>
      </c>
      <c r="AO99" s="13">
        <v>5.2356752999999999E-2</v>
      </c>
      <c r="AP99" s="14">
        <v>0.678101599</v>
      </c>
      <c r="AQ99" s="14">
        <v>-0.10615954399999999</v>
      </c>
    </row>
    <row r="100" spans="1:43" hidden="1" x14ac:dyDescent="0.25">
      <c r="A100" s="15" t="s">
        <v>52</v>
      </c>
      <c r="B100" s="16" t="e">
        <f>VLOOKUP(Sheet1!D100,Sheet2!A97,1,FALSE)</f>
        <v>#N/A</v>
      </c>
      <c r="C100" s="15" t="s">
        <v>20</v>
      </c>
      <c r="D100" s="15" t="s">
        <v>57</v>
      </c>
      <c r="E100" s="16" t="s">
        <v>71</v>
      </c>
      <c r="F100" s="13">
        <v>-3.4920207000000002E-2</v>
      </c>
      <c r="G100" s="13">
        <v>-3.0646857999999999E-2</v>
      </c>
      <c r="H100" s="13">
        <v>-2.0762019E-2</v>
      </c>
      <c r="I100" s="13">
        <v>-7.3969789999999997E-3</v>
      </c>
      <c r="J100" s="13">
        <v>1.3600719999999999E-3</v>
      </c>
      <c r="K100" s="13">
        <v>7.174812E-3</v>
      </c>
      <c r="L100" s="13">
        <v>1.1217446000000001E-2</v>
      </c>
      <c r="M100" s="13">
        <v>-7.9525628000000001E-2</v>
      </c>
      <c r="N100" s="13">
        <v>-7.1760438999999995E-2</v>
      </c>
      <c r="O100" s="13">
        <v>-6.2571425999999999E-2</v>
      </c>
      <c r="P100" s="13">
        <v>-5.0349692000000001E-2</v>
      </c>
      <c r="Q100" s="13">
        <v>-4.1023285999999999E-2</v>
      </c>
      <c r="R100" s="13">
        <v>-3.3583572999999999E-2</v>
      </c>
      <c r="S100" s="13">
        <v>-2.7672440999999999E-2</v>
      </c>
      <c r="T100" s="13">
        <v>1.0811807999999999E-2</v>
      </c>
      <c r="U100" s="13">
        <v>1.1608722E-2</v>
      </c>
      <c r="V100" s="13">
        <v>2.2506107000000001E-2</v>
      </c>
      <c r="W100" s="13">
        <v>3.758235E-2</v>
      </c>
      <c r="X100" s="13">
        <v>4.5891564000000003E-2</v>
      </c>
      <c r="Y100" s="13">
        <v>4.9528129999999997E-2</v>
      </c>
      <c r="Z100" s="13">
        <v>5.1598653000000001E-2</v>
      </c>
      <c r="AA100" s="13">
        <v>-6.3033112000000002E-2</v>
      </c>
      <c r="AB100" s="13">
        <v>-5.9756166999999999E-2</v>
      </c>
      <c r="AC100" s="13">
        <v>-5.3869503999999999E-2</v>
      </c>
      <c r="AD100" s="13">
        <v>-4.5552455999999998E-2</v>
      </c>
      <c r="AE100" s="13">
        <v>-3.7638611000000002E-2</v>
      </c>
      <c r="AF100" s="13">
        <v>-3.1366048000000001E-2</v>
      </c>
      <c r="AG100" s="13">
        <v>-2.7120737999999998E-2</v>
      </c>
      <c r="AH100" s="13">
        <v>-5.9637969999999998E-3</v>
      </c>
      <c r="AI100" s="13">
        <v>-6.3634599999999998E-4</v>
      </c>
      <c r="AJ100" s="13">
        <v>1.3503987E-2</v>
      </c>
      <c r="AK100" s="13">
        <v>3.2283820999999997E-2</v>
      </c>
      <c r="AL100" s="13">
        <v>4.193914E-2</v>
      </c>
      <c r="AM100" s="13">
        <v>4.7249171999999999E-2</v>
      </c>
      <c r="AN100" s="13">
        <v>5.1066423E-2</v>
      </c>
      <c r="AO100" s="13">
        <v>0.118236276</v>
      </c>
      <c r="AP100" s="14">
        <v>0.67826897600000002</v>
      </c>
      <c r="AQ100" s="14">
        <v>-6.1544841000000003E-2</v>
      </c>
    </row>
    <row r="101" spans="1:43" hidden="1" x14ac:dyDescent="0.25">
      <c r="A101" s="15" t="s">
        <v>52</v>
      </c>
      <c r="B101" s="16" t="e">
        <f>VLOOKUP(Sheet1!D101,Sheet2!A98,1,FALSE)</f>
        <v>#N/A</v>
      </c>
      <c r="C101" s="15" t="s">
        <v>20</v>
      </c>
      <c r="D101" s="15" t="s">
        <v>58</v>
      </c>
      <c r="E101" s="16" t="s">
        <v>72</v>
      </c>
      <c r="F101" s="13">
        <v>8.1788399999999997E-3</v>
      </c>
      <c r="G101" s="13">
        <v>9.6786470000000003E-3</v>
      </c>
      <c r="H101" s="13">
        <v>1.2803181E-2</v>
      </c>
      <c r="I101" s="13">
        <v>1.6416898999999999E-2</v>
      </c>
      <c r="J101" s="13">
        <v>1.8446028E-2</v>
      </c>
      <c r="K101" s="13">
        <v>1.9671503999999999E-2</v>
      </c>
      <c r="L101" s="13">
        <v>2.0481385000000001E-2</v>
      </c>
      <c r="M101" s="13">
        <v>-1.2357873E-2</v>
      </c>
      <c r="N101" s="13">
        <v>-9.7606670000000006E-3</v>
      </c>
      <c r="O101" s="13">
        <v>-8.4899740000000008E-3</v>
      </c>
      <c r="P101" s="13">
        <v>-6.5815630000000003E-3</v>
      </c>
      <c r="Q101" s="13">
        <v>-4.4226810000000004E-3</v>
      </c>
      <c r="R101" s="13">
        <v>-2.3589079999999998E-3</v>
      </c>
      <c r="S101" s="13">
        <v>-5.5279899999999998E-4</v>
      </c>
      <c r="T101" s="13">
        <v>2.8856571000000001E-2</v>
      </c>
      <c r="U101" s="13">
        <v>2.9437542000000001E-2</v>
      </c>
      <c r="V101" s="13">
        <v>3.4421954999999997E-2</v>
      </c>
      <c r="W101" s="13">
        <v>3.9945912E-2</v>
      </c>
      <c r="X101" s="13">
        <v>4.1630596999999998E-2</v>
      </c>
      <c r="Y101" s="13">
        <v>4.2222722999999997E-2</v>
      </c>
      <c r="Z101" s="13">
        <v>4.1879703999999997E-2</v>
      </c>
      <c r="AA101" s="13">
        <v>-4.3235130000000002E-3</v>
      </c>
      <c r="AB101" s="13">
        <v>-4.2095739999999998E-3</v>
      </c>
      <c r="AC101" s="13">
        <v>-5.3088739999999999E-3</v>
      </c>
      <c r="AD101" s="13">
        <v>-4.340193E-3</v>
      </c>
      <c r="AE101" s="13">
        <v>-3.1316320000000001E-3</v>
      </c>
      <c r="AF101" s="13">
        <v>-1.8643799999999999E-3</v>
      </c>
      <c r="AG101" s="13">
        <v>-6.3600000000000001E-5</v>
      </c>
      <c r="AH101" s="13">
        <v>2.0838181000000001E-2</v>
      </c>
      <c r="AI101" s="13">
        <v>2.3760567E-2</v>
      </c>
      <c r="AJ101" s="13">
        <v>3.1245034000000001E-2</v>
      </c>
      <c r="AK101" s="13">
        <v>3.7606733000000003E-2</v>
      </c>
      <c r="AL101" s="13">
        <v>4.0490748E-2</v>
      </c>
      <c r="AM101" s="13">
        <v>4.1672049000000003E-2</v>
      </c>
      <c r="AN101" s="13">
        <v>4.1448523000000001E-2</v>
      </c>
      <c r="AO101" s="13">
        <v>5.3023097999999998E-2</v>
      </c>
      <c r="AP101" s="14">
        <v>0.39473116600000002</v>
      </c>
      <c r="AQ101" s="14">
        <v>0.20354945699999999</v>
      </c>
    </row>
    <row r="102" spans="1:43" hidden="1" x14ac:dyDescent="0.25">
      <c r="A102" s="15" t="s">
        <v>52</v>
      </c>
      <c r="B102" s="16" t="e">
        <f>VLOOKUP(Sheet1!D102,Sheet2!A99,1,FALSE)</f>
        <v>#N/A</v>
      </c>
      <c r="C102" s="15" t="s">
        <v>20</v>
      </c>
      <c r="D102" s="15" t="s">
        <v>59</v>
      </c>
      <c r="E102" s="16" t="s">
        <v>73</v>
      </c>
      <c r="F102" s="13">
        <v>-2.356596E-2</v>
      </c>
      <c r="G102" s="13">
        <v>-1.9021459000000001E-2</v>
      </c>
      <c r="H102" s="13">
        <v>-8.4808409999999994E-3</v>
      </c>
      <c r="I102" s="13">
        <v>5.8236759999999999E-3</v>
      </c>
      <c r="J102" s="13">
        <v>1.5226656E-2</v>
      </c>
      <c r="K102" s="13">
        <v>2.1481795000000001E-2</v>
      </c>
      <c r="L102" s="13">
        <v>2.5834902999999999E-2</v>
      </c>
      <c r="M102" s="13">
        <v>-5.7552199999999998E-2</v>
      </c>
      <c r="N102" s="13">
        <v>-5.0755582E-2</v>
      </c>
      <c r="O102" s="13">
        <v>-4.0627294000000001E-2</v>
      </c>
      <c r="P102" s="13">
        <v>-2.7685382000000001E-2</v>
      </c>
      <c r="Q102" s="13">
        <v>-1.7881699000000001E-2</v>
      </c>
      <c r="R102" s="13">
        <v>-1.1360818E-2</v>
      </c>
      <c r="S102" s="13">
        <v>-5.4050310000000002E-3</v>
      </c>
      <c r="T102" s="13">
        <v>1.1412591999999999E-2</v>
      </c>
      <c r="U102" s="13">
        <v>1.4025041E-2</v>
      </c>
      <c r="V102" s="13">
        <v>2.4871275000000002E-2</v>
      </c>
      <c r="W102" s="13">
        <v>4.0736951E-2</v>
      </c>
      <c r="X102" s="13">
        <v>5.0058048000000001E-2</v>
      </c>
      <c r="Y102" s="13">
        <v>5.5448643999999998E-2</v>
      </c>
      <c r="Z102" s="13">
        <v>5.8510996000000003E-2</v>
      </c>
      <c r="AA102" s="13">
        <v>-4.4576631999999998E-2</v>
      </c>
      <c r="AB102" s="13">
        <v>-4.1462378000000001E-2</v>
      </c>
      <c r="AC102" s="13">
        <v>-3.4672862999999998E-2</v>
      </c>
      <c r="AD102" s="13">
        <v>-2.4357163000000001E-2</v>
      </c>
      <c r="AE102" s="13">
        <v>-1.5803906999999999E-2</v>
      </c>
      <c r="AF102" s="13">
        <v>-9.9081880000000001E-3</v>
      </c>
      <c r="AG102" s="13">
        <v>-4.0164559999999998E-3</v>
      </c>
      <c r="AH102" s="13">
        <v>-2.0932440000000002E-3</v>
      </c>
      <c r="AI102" s="13">
        <v>3.944838E-3</v>
      </c>
      <c r="AJ102" s="13">
        <v>1.8421858999999999E-2</v>
      </c>
      <c r="AK102" s="13">
        <v>3.6938139000000002E-2</v>
      </c>
      <c r="AL102" s="13">
        <v>4.7235577000000001E-2</v>
      </c>
      <c r="AM102" s="13">
        <v>5.3866971E-2</v>
      </c>
      <c r="AN102" s="13">
        <v>5.6580963999999997E-2</v>
      </c>
      <c r="AO102" s="13">
        <v>9.2024572999999998E-2</v>
      </c>
      <c r="AP102" s="14">
        <v>0.40665432800000001</v>
      </c>
      <c r="AQ102" s="14">
        <v>0.27868695199999999</v>
      </c>
    </row>
    <row r="103" spans="1:43" hidden="1" x14ac:dyDescent="0.25">
      <c r="A103" s="15" t="s">
        <v>52</v>
      </c>
      <c r="B103" s="16" t="e">
        <f>VLOOKUP(Sheet1!D103,Sheet2!A100,1,FALSE)</f>
        <v>#N/A</v>
      </c>
      <c r="C103" s="15" t="s">
        <v>20</v>
      </c>
      <c r="D103" s="15" t="s">
        <v>21</v>
      </c>
      <c r="E103" s="16" t="s">
        <v>39</v>
      </c>
      <c r="F103" s="13">
        <v>1.4724065999999999E-2</v>
      </c>
      <c r="G103" s="13">
        <v>1.7056199000000001E-2</v>
      </c>
      <c r="H103" s="13">
        <v>2.2192231999999999E-2</v>
      </c>
      <c r="I103" s="13">
        <v>2.8673032000000001E-2</v>
      </c>
      <c r="J103" s="13">
        <v>3.2659806999999999E-2</v>
      </c>
      <c r="K103" s="13">
        <v>3.5212260000000002E-2</v>
      </c>
      <c r="L103" s="13">
        <v>3.6953288000000001E-2</v>
      </c>
      <c r="M103" s="13">
        <v>-2.8033928E-2</v>
      </c>
      <c r="N103" s="13">
        <v>-2.303943E-2</v>
      </c>
      <c r="O103" s="13">
        <v>-1.7910821E-2</v>
      </c>
      <c r="P103" s="13">
        <v>-1.0823315E-2</v>
      </c>
      <c r="Q103" s="13">
        <v>-5.4938249999999999E-3</v>
      </c>
      <c r="R103" s="13">
        <v>-1.663339E-3</v>
      </c>
      <c r="S103" s="13">
        <v>1.6975829999999999E-3</v>
      </c>
      <c r="T103" s="13">
        <v>5.9690747000000002E-2</v>
      </c>
      <c r="U103" s="13">
        <v>5.8972512999999997E-2</v>
      </c>
      <c r="V103" s="13">
        <v>6.3633405000000004E-2</v>
      </c>
      <c r="W103" s="13">
        <v>6.9647425999999998E-2</v>
      </c>
      <c r="X103" s="13">
        <v>7.2707063000000002E-2</v>
      </c>
      <c r="Y103" s="13">
        <v>7.3366381999999994E-2</v>
      </c>
      <c r="Z103" s="13">
        <v>7.3498136000000006E-2</v>
      </c>
      <c r="AA103" s="13">
        <v>-1.5562225000000001E-2</v>
      </c>
      <c r="AB103" s="13">
        <v>-1.4857482E-2</v>
      </c>
      <c r="AC103" s="13">
        <v>-1.2541495E-2</v>
      </c>
      <c r="AD103" s="13">
        <v>-6.987661E-3</v>
      </c>
      <c r="AE103" s="13">
        <v>-1.5302549999999999E-3</v>
      </c>
      <c r="AF103" s="13">
        <v>1.89036E-3</v>
      </c>
      <c r="AG103" s="13">
        <v>5.1379090000000004E-3</v>
      </c>
      <c r="AH103" s="13">
        <v>4.5942124000000001E-2</v>
      </c>
      <c r="AI103" s="13">
        <v>5.0003726999999998E-2</v>
      </c>
      <c r="AJ103" s="13">
        <v>5.8147712999999997E-2</v>
      </c>
      <c r="AK103" s="13">
        <v>6.5614373000000004E-2</v>
      </c>
      <c r="AL103" s="13">
        <v>6.8020624000000002E-2</v>
      </c>
      <c r="AM103" s="13">
        <v>6.9642443999999998E-2</v>
      </c>
      <c r="AN103" s="13">
        <v>6.9775716000000002E-2</v>
      </c>
      <c r="AO103" s="13">
        <v>0.103278991</v>
      </c>
      <c r="AP103" s="14">
        <v>0.31709443100000001</v>
      </c>
      <c r="AQ103" s="14">
        <v>0.43525036099999997</v>
      </c>
    </row>
    <row r="104" spans="1:43" hidden="1" x14ac:dyDescent="0.25">
      <c r="A104" s="15" t="s">
        <v>52</v>
      </c>
      <c r="B104" s="16" t="e">
        <f>VLOOKUP(Sheet1!D104,Sheet2!A101,1,FALSE)</f>
        <v>#N/A</v>
      </c>
      <c r="C104" s="15" t="s">
        <v>20</v>
      </c>
      <c r="D104" s="15" t="s">
        <v>60</v>
      </c>
      <c r="E104" s="16" t="s">
        <v>74</v>
      </c>
      <c r="F104" s="13">
        <v>2.7726338E-2</v>
      </c>
      <c r="G104" s="13">
        <v>2.9128332999999999E-2</v>
      </c>
      <c r="H104" s="13">
        <v>3.2006775000000001E-2</v>
      </c>
      <c r="I104" s="13">
        <v>3.5253785000000003E-2</v>
      </c>
      <c r="J104" s="13">
        <v>3.7024381000000002E-2</v>
      </c>
      <c r="K104" s="13">
        <v>3.8071919000000003E-2</v>
      </c>
      <c r="L104" s="13">
        <v>3.8756094999999997E-2</v>
      </c>
      <c r="M104" s="13">
        <v>-1.548787E-3</v>
      </c>
      <c r="N104" s="13">
        <v>2.6656890000000002E-3</v>
      </c>
      <c r="O104" s="13">
        <v>6.9551159999999999E-3</v>
      </c>
      <c r="P104" s="13">
        <v>1.1810025E-2</v>
      </c>
      <c r="Q104" s="13">
        <v>1.5123022E-2</v>
      </c>
      <c r="R104" s="13">
        <v>1.7186070000000001E-2</v>
      </c>
      <c r="S104" s="13">
        <v>1.9201889E-2</v>
      </c>
      <c r="T104" s="13">
        <v>5.7660107000000002E-2</v>
      </c>
      <c r="U104" s="13">
        <v>5.6311765999999999E-2</v>
      </c>
      <c r="V104" s="13">
        <v>5.7515954000000001E-2</v>
      </c>
      <c r="W104" s="13">
        <v>5.9168602000000001E-2</v>
      </c>
      <c r="X104" s="13">
        <v>5.9564270000000002E-2</v>
      </c>
      <c r="Y104" s="13">
        <v>5.9186900000000001E-2</v>
      </c>
      <c r="Z104" s="13">
        <v>5.8919030999999997E-2</v>
      </c>
      <c r="AA104" s="13">
        <v>1.0084433E-2</v>
      </c>
      <c r="AB104" s="13">
        <v>1.1759383E-2</v>
      </c>
      <c r="AC104" s="13">
        <v>1.4068875999999999E-2</v>
      </c>
      <c r="AD104" s="13">
        <v>1.6413682999999998E-2</v>
      </c>
      <c r="AE104" s="13">
        <v>1.8930046999999998E-2</v>
      </c>
      <c r="AF104" s="13">
        <v>2.0508661000000001E-2</v>
      </c>
      <c r="AG104" s="13">
        <v>2.1775897999999998E-2</v>
      </c>
      <c r="AH104" s="13">
        <v>4.5676372E-2</v>
      </c>
      <c r="AI104" s="13">
        <v>4.6795458999999998E-2</v>
      </c>
      <c r="AJ104" s="13">
        <v>5.0261976999999999E-2</v>
      </c>
      <c r="AK104" s="13">
        <v>5.4443103999999999E-2</v>
      </c>
      <c r="AL104" s="13">
        <v>5.5440041000000002E-2</v>
      </c>
      <c r="AM104" s="13">
        <v>5.593745E-2</v>
      </c>
      <c r="AN104" s="13">
        <v>5.6018473999999999E-2</v>
      </c>
      <c r="AO104" s="13">
        <v>7.8936074999999994E-2</v>
      </c>
      <c r="AP104" s="14">
        <v>-8.4806470999999994E-2</v>
      </c>
      <c r="AQ104" s="14">
        <v>0.65647703700000004</v>
      </c>
    </row>
    <row r="105" spans="1:43" hidden="1" x14ac:dyDescent="0.25">
      <c r="A105" s="15" t="s">
        <v>52</v>
      </c>
      <c r="B105" s="16" t="e">
        <f>VLOOKUP(Sheet1!D105,Sheet2!A102,1,FALSE)</f>
        <v>#N/A</v>
      </c>
      <c r="C105" s="15" t="s">
        <v>20</v>
      </c>
      <c r="D105" s="15" t="s">
        <v>61</v>
      </c>
      <c r="E105" s="16" t="s">
        <v>75</v>
      </c>
      <c r="F105" s="13">
        <v>-1.1890990000000001E-2</v>
      </c>
      <c r="G105" s="13">
        <v>-9.2481760000000003E-3</v>
      </c>
      <c r="H105" s="13">
        <v>-3.3449180000000001E-3</v>
      </c>
      <c r="I105" s="13">
        <v>4.2583600000000001E-3</v>
      </c>
      <c r="J105" s="13">
        <v>9.0273249999999992E-3</v>
      </c>
      <c r="K105" s="13">
        <v>1.2115722000000001E-2</v>
      </c>
      <c r="L105" s="13">
        <v>1.4234943999999999E-2</v>
      </c>
      <c r="M105" s="13">
        <v>-2.2917677000000001E-2</v>
      </c>
      <c r="N105" s="13">
        <v>-1.8928133999999999E-2</v>
      </c>
      <c r="O105" s="13">
        <v>-1.2237082999999999E-2</v>
      </c>
      <c r="P105" s="13">
        <v>-3.9226440000000003E-3</v>
      </c>
      <c r="Q105" s="13">
        <v>1.439084E-3</v>
      </c>
      <c r="R105" s="13">
        <v>5.0260720000000004E-3</v>
      </c>
      <c r="S105" s="13">
        <v>7.5115240000000003E-3</v>
      </c>
      <c r="T105" s="13">
        <v>-7.7061600000000001E-4</v>
      </c>
      <c r="U105" s="13">
        <v>4.97135E-4</v>
      </c>
      <c r="V105" s="13">
        <v>5.6759690000000003E-3</v>
      </c>
      <c r="W105" s="13">
        <v>1.2564083E-2</v>
      </c>
      <c r="X105" s="13">
        <v>1.6731895E-2</v>
      </c>
      <c r="Y105" s="13">
        <v>1.9288791999999999E-2</v>
      </c>
      <c r="Z105" s="13">
        <v>2.0964627E-2</v>
      </c>
      <c r="AA105" s="13">
        <v>-1.5696686000000001E-2</v>
      </c>
      <c r="AB105" s="13">
        <v>-1.3219850999999999E-2</v>
      </c>
      <c r="AC105" s="13">
        <v>-8.2143600000000004E-3</v>
      </c>
      <c r="AD105" s="13">
        <v>-1.3272189999999999E-3</v>
      </c>
      <c r="AE105" s="13">
        <v>3.1685099999999998E-3</v>
      </c>
      <c r="AF105" s="13">
        <v>6.6816499999999999E-3</v>
      </c>
      <c r="AG105" s="13">
        <v>8.9668330000000004E-3</v>
      </c>
      <c r="AH105" s="13">
        <v>-8.0705810000000003E-3</v>
      </c>
      <c r="AI105" s="13">
        <v>-5.2605150000000003E-3</v>
      </c>
      <c r="AJ105" s="13">
        <v>1.5484330000000001E-3</v>
      </c>
      <c r="AK105" s="13">
        <v>9.8751800000000008E-3</v>
      </c>
      <c r="AL105" s="13">
        <v>1.4920355999999999E-2</v>
      </c>
      <c r="AM105" s="13">
        <v>1.7579127E-2</v>
      </c>
      <c r="AN105" s="13">
        <v>1.9530560999999998E-2</v>
      </c>
      <c r="AO105" s="13">
        <v>3.4745738999999998E-2</v>
      </c>
      <c r="AP105" s="14">
        <v>0.89698389999999995</v>
      </c>
      <c r="AQ105" s="14">
        <v>-6.7974010000000001E-2</v>
      </c>
    </row>
    <row r="106" spans="1:43" hidden="1" x14ac:dyDescent="0.25">
      <c r="A106" s="15" t="s">
        <v>52</v>
      </c>
      <c r="B106" s="16" t="e">
        <f>VLOOKUP(Sheet1!D106,Sheet2!A103,1,FALSE)</f>
        <v>#N/A</v>
      </c>
      <c r="C106" s="15" t="s">
        <v>20</v>
      </c>
      <c r="D106" s="15" t="s">
        <v>62</v>
      </c>
      <c r="E106" s="16" t="s">
        <v>76</v>
      </c>
      <c r="F106" s="13">
        <v>-1.5794728000000001E-2</v>
      </c>
      <c r="G106" s="13">
        <v>-1.3185260000000001E-2</v>
      </c>
      <c r="H106" s="13">
        <v>-7.3609139999999997E-3</v>
      </c>
      <c r="I106" s="13">
        <v>1.32583E-4</v>
      </c>
      <c r="J106" s="13">
        <v>4.8279409999999997E-3</v>
      </c>
      <c r="K106" s="13">
        <v>7.8668780000000008E-3</v>
      </c>
      <c r="L106" s="13">
        <v>9.9515209999999996E-3</v>
      </c>
      <c r="M106" s="13">
        <v>-2.997058E-2</v>
      </c>
      <c r="N106" s="13">
        <v>-2.5771837999999998E-2</v>
      </c>
      <c r="O106" s="13">
        <v>-1.9046921000000001E-2</v>
      </c>
      <c r="P106" s="13">
        <v>-1.0982950999999999E-2</v>
      </c>
      <c r="Q106" s="13">
        <v>-5.7373160000000001E-3</v>
      </c>
      <c r="R106" s="13">
        <v>-2.1902660000000002E-3</v>
      </c>
      <c r="S106" s="13">
        <v>5.0750199999999995E-4</v>
      </c>
      <c r="T106" s="13">
        <v>-1.3632119999999999E-3</v>
      </c>
      <c r="U106" s="13">
        <v>-4.5271100000000001E-4</v>
      </c>
      <c r="V106" s="13">
        <v>4.5007249999999997E-3</v>
      </c>
      <c r="W106" s="13">
        <v>1.1363394000000001E-2</v>
      </c>
      <c r="X106" s="13">
        <v>1.5504206E-2</v>
      </c>
      <c r="Y106" s="13">
        <v>1.7918307000000001E-2</v>
      </c>
      <c r="Z106" s="13">
        <v>1.9523316999999998E-2</v>
      </c>
      <c r="AA106" s="13">
        <v>-2.1620032000000001E-2</v>
      </c>
      <c r="AB106" s="13">
        <v>-1.9194625E-2</v>
      </c>
      <c r="AC106" s="13">
        <v>-1.4885686E-2</v>
      </c>
      <c r="AD106" s="13">
        <v>-8.2016290000000002E-3</v>
      </c>
      <c r="AE106" s="13">
        <v>-3.7333409999999998E-3</v>
      </c>
      <c r="AF106" s="13">
        <v>-2.2271899999999999E-4</v>
      </c>
      <c r="AG106" s="13">
        <v>2.0316129999999998E-3</v>
      </c>
      <c r="AH106" s="13">
        <v>-9.9347399999999992E-3</v>
      </c>
      <c r="AI106" s="13">
        <v>-7.1390760000000003E-3</v>
      </c>
      <c r="AJ106" s="13">
        <v>2.2133600000000001E-4</v>
      </c>
      <c r="AK106" s="13">
        <v>8.5368289999999993E-3</v>
      </c>
      <c r="AL106" s="13">
        <v>1.3462794E-2</v>
      </c>
      <c r="AM106" s="13">
        <v>1.6021931999999999E-2</v>
      </c>
      <c r="AN106" s="13">
        <v>1.7934028000000001E-2</v>
      </c>
      <c r="AO106" s="13">
        <v>4.3690185999999999E-2</v>
      </c>
      <c r="AP106" s="14">
        <v>1</v>
      </c>
      <c r="AQ106" s="14">
        <v>-0.31467931799999999</v>
      </c>
    </row>
    <row r="107" spans="1:43" hidden="1" x14ac:dyDescent="0.25">
      <c r="A107" s="15" t="s">
        <v>52</v>
      </c>
      <c r="B107" s="16" t="e">
        <f>VLOOKUP(Sheet1!D107,Sheet2!A104,1,FALSE)</f>
        <v>#N/A</v>
      </c>
      <c r="C107" s="15" t="s">
        <v>20</v>
      </c>
      <c r="D107" s="15" t="s">
        <v>63</v>
      </c>
      <c r="E107" s="16" t="s">
        <v>77</v>
      </c>
      <c r="F107" s="13">
        <v>-4.951988E-3</v>
      </c>
      <c r="G107" s="13">
        <v>-3.0759580000000002E-3</v>
      </c>
      <c r="H107" s="13">
        <v>9.6520600000000003E-4</v>
      </c>
      <c r="I107" s="13">
        <v>5.8973669999999997E-3</v>
      </c>
      <c r="J107" s="13">
        <v>8.8327100000000006E-3</v>
      </c>
      <c r="K107" s="13">
        <v>1.0674374E-2</v>
      </c>
      <c r="L107" s="13">
        <v>1.1917202999999999E-2</v>
      </c>
      <c r="M107" s="13">
        <v>-5.0389989999999997E-3</v>
      </c>
      <c r="N107" s="13">
        <v>-4.3556130000000004E-3</v>
      </c>
      <c r="O107" s="13">
        <v>-1.4932389999999999E-3</v>
      </c>
      <c r="P107" s="13">
        <v>2.7531090000000001E-3</v>
      </c>
      <c r="Q107" s="13">
        <v>5.6283449999999999E-3</v>
      </c>
      <c r="R107" s="13">
        <v>7.5694159999999998E-3</v>
      </c>
      <c r="S107" s="13">
        <v>8.9158880000000003E-3</v>
      </c>
      <c r="T107" s="13">
        <v>-4.8649690000000002E-3</v>
      </c>
      <c r="U107" s="13">
        <v>-1.7946570000000001E-3</v>
      </c>
      <c r="V107" s="13">
        <v>3.429704E-3</v>
      </c>
      <c r="W107" s="13">
        <v>9.0514840000000003E-3</v>
      </c>
      <c r="X107" s="13">
        <v>1.2047285E-2</v>
      </c>
      <c r="Y107" s="13">
        <v>1.37889E-2</v>
      </c>
      <c r="Z107" s="13">
        <v>1.4927446E-2</v>
      </c>
      <c r="AA107" s="13">
        <v>-5.0372180000000004E-3</v>
      </c>
      <c r="AB107" s="13">
        <v>-4.3533110000000003E-3</v>
      </c>
      <c r="AC107" s="13">
        <v>-1.4842740000000001E-3</v>
      </c>
      <c r="AD107" s="13">
        <v>2.605984E-3</v>
      </c>
      <c r="AE107" s="13">
        <v>5.576307E-3</v>
      </c>
      <c r="AF107" s="13">
        <v>7.4667969999999998E-3</v>
      </c>
      <c r="AG107" s="13">
        <v>8.9541510000000005E-3</v>
      </c>
      <c r="AH107" s="13">
        <v>-4.8667509999999999E-3</v>
      </c>
      <c r="AI107" s="13">
        <v>-1.7969660000000001E-3</v>
      </c>
      <c r="AJ107" s="13">
        <v>3.4206950000000001E-3</v>
      </c>
      <c r="AK107" s="13">
        <v>9.1995549999999999E-3</v>
      </c>
      <c r="AL107" s="13">
        <v>1.2099657999999999E-2</v>
      </c>
      <c r="AM107" s="13">
        <v>1.3892163000000001E-2</v>
      </c>
      <c r="AN107" s="13">
        <v>1.4888956E-2</v>
      </c>
      <c r="AO107" s="13">
        <v>0</v>
      </c>
      <c r="AP107" s="14">
        <v>0</v>
      </c>
      <c r="AQ107" s="14">
        <v>0</v>
      </c>
    </row>
    <row r="108" spans="1:43" hidden="1" x14ac:dyDescent="0.25">
      <c r="A108" s="15" t="s">
        <v>52</v>
      </c>
      <c r="B108" s="16" t="e">
        <f>VLOOKUP(Sheet1!D108,Sheet2!A105,1,FALSE)</f>
        <v>#N/A</v>
      </c>
      <c r="C108" s="15" t="s">
        <v>20</v>
      </c>
      <c r="D108" s="15" t="s">
        <v>172</v>
      </c>
      <c r="E108" s="16" t="s">
        <v>166</v>
      </c>
      <c r="F108" s="13">
        <v>1.4546038000000001E-2</v>
      </c>
      <c r="G108" s="13">
        <v>1.5334253000000001E-2</v>
      </c>
      <c r="H108" s="13">
        <v>1.6737568000000001E-2</v>
      </c>
      <c r="I108" s="13">
        <v>1.7898804000000001E-2</v>
      </c>
      <c r="J108" s="13">
        <v>1.8255436999999999E-2</v>
      </c>
      <c r="K108" s="13">
        <v>1.8348779999999999E-2</v>
      </c>
      <c r="L108" s="13">
        <v>1.8365243999999999E-2</v>
      </c>
      <c r="M108" s="13">
        <v>-1.9266769999999999E-2</v>
      </c>
      <c r="N108" s="13">
        <v>-1.5274416000000001E-2</v>
      </c>
      <c r="O108" s="13">
        <v>-1.2567549000000001E-2</v>
      </c>
      <c r="P108" s="13">
        <v>-1.0121260999999999E-2</v>
      </c>
      <c r="Q108" s="13">
        <v>-8.7465609999999999E-3</v>
      </c>
      <c r="R108" s="13">
        <v>-7.2719339999999999E-3</v>
      </c>
      <c r="S108" s="13">
        <v>-5.8522649999999997E-3</v>
      </c>
      <c r="T108" s="13">
        <v>4.9539028999999998E-2</v>
      </c>
      <c r="U108" s="13">
        <v>4.7111588000000003E-2</v>
      </c>
      <c r="V108" s="13">
        <v>4.7251064000000002E-2</v>
      </c>
      <c r="W108" s="13">
        <v>4.6862551000000002E-2</v>
      </c>
      <c r="X108" s="13">
        <v>4.5955993000000001E-2</v>
      </c>
      <c r="Y108" s="13">
        <v>4.4704428999999997E-2</v>
      </c>
      <c r="Z108" s="13">
        <v>4.3148968000000003E-2</v>
      </c>
      <c r="AA108" s="13">
        <v>-1.8246E-3</v>
      </c>
      <c r="AB108" s="13">
        <v>-1.9877990000000002E-3</v>
      </c>
      <c r="AC108" s="13">
        <v>-4.750471E-3</v>
      </c>
      <c r="AD108" s="13">
        <v>-5.1579169999999997E-3</v>
      </c>
      <c r="AE108" s="13">
        <v>-3.6797240000000001E-3</v>
      </c>
      <c r="AF108" s="13">
        <v>-2.780505E-3</v>
      </c>
      <c r="AG108" s="13">
        <v>-2.4323050000000001E-3</v>
      </c>
      <c r="AH108" s="13">
        <v>3.1185167E-2</v>
      </c>
      <c r="AI108" s="13">
        <v>3.2956956000000003E-2</v>
      </c>
      <c r="AJ108" s="13">
        <v>3.8689547999999997E-2</v>
      </c>
      <c r="AK108" s="13">
        <v>4.1489894999999999E-2</v>
      </c>
      <c r="AL108" s="13">
        <v>4.0673533999999997E-2</v>
      </c>
      <c r="AM108" s="13">
        <v>3.9925756E-2</v>
      </c>
      <c r="AN108" s="13">
        <v>3.9596384999999998E-2</v>
      </c>
      <c r="AO108" s="13">
        <v>9.8815106999999999E-2</v>
      </c>
      <c r="AP108" s="14">
        <v>8.8163760000000008E-3</v>
      </c>
      <c r="AQ108" s="14">
        <v>-0.27218279299999998</v>
      </c>
    </row>
    <row r="109" spans="1:43" hidden="1" x14ac:dyDescent="0.25">
      <c r="A109" s="15" t="s">
        <v>52</v>
      </c>
      <c r="B109" s="16" t="e">
        <f>VLOOKUP(Sheet1!D109,Sheet2!A106,1,FALSE)</f>
        <v>#N/A</v>
      </c>
      <c r="C109" s="15" t="s">
        <v>23</v>
      </c>
      <c r="D109" s="15" t="s">
        <v>64</v>
      </c>
      <c r="E109" s="16" t="s">
        <v>45</v>
      </c>
      <c r="F109" s="13">
        <v>0.112690767</v>
      </c>
      <c r="G109" s="13">
        <v>0.11427533199999999</v>
      </c>
      <c r="H109" s="13">
        <v>0.11758054699999999</v>
      </c>
      <c r="I109" s="13">
        <v>0.121411203</v>
      </c>
      <c r="J109" s="13">
        <v>0.123567256</v>
      </c>
      <c r="K109" s="13">
        <v>0.12487150599999999</v>
      </c>
      <c r="L109" s="13">
        <v>0.125734235</v>
      </c>
      <c r="M109" s="13">
        <v>-4.2563441E-2</v>
      </c>
      <c r="N109" s="13">
        <v>-3.0349530999999999E-2</v>
      </c>
      <c r="O109" s="13">
        <v>-1.7611277000000002E-2</v>
      </c>
      <c r="P109" s="13">
        <v>-2.9821740000000002E-3</v>
      </c>
      <c r="Q109" s="13">
        <v>8.8921950000000003E-3</v>
      </c>
      <c r="R109" s="13">
        <v>1.7232364999999999E-2</v>
      </c>
      <c r="S109" s="13">
        <v>2.3274296999999999E-2</v>
      </c>
      <c r="T109" s="13">
        <v>0.29429225199999998</v>
      </c>
      <c r="U109" s="13">
        <v>0.28131246300000001</v>
      </c>
      <c r="V109" s="13">
        <v>0.27215498999999999</v>
      </c>
      <c r="W109" s="13">
        <v>0.26187931599999997</v>
      </c>
      <c r="X109" s="13">
        <v>0.252324518</v>
      </c>
      <c r="Y109" s="13">
        <v>0.24337076799999999</v>
      </c>
      <c r="Z109" s="13">
        <v>0.23786977200000001</v>
      </c>
      <c r="AA109" s="13">
        <v>-1.4532368E-2</v>
      </c>
      <c r="AB109" s="13">
        <v>-5.1975229999999999E-3</v>
      </c>
      <c r="AC109" s="13">
        <v>1.5790310000000001E-3</v>
      </c>
      <c r="AD109" s="13">
        <v>1.1411182000000001E-2</v>
      </c>
      <c r="AE109" s="13">
        <v>1.2266535E-2</v>
      </c>
      <c r="AF109" s="13">
        <v>2.4395022999999998E-2</v>
      </c>
      <c r="AG109" s="13">
        <v>3.3408552000000001E-2</v>
      </c>
      <c r="AH109" s="13">
        <v>0.25732421100000002</v>
      </c>
      <c r="AI109" s="13">
        <v>0.248950158</v>
      </c>
      <c r="AJ109" s="13">
        <v>0.24780986199999999</v>
      </c>
      <c r="AK109" s="13">
        <v>0.244073284</v>
      </c>
      <c r="AL109" s="13">
        <v>0.247819658</v>
      </c>
      <c r="AM109" s="13">
        <v>0.23577113999999999</v>
      </c>
      <c r="AN109" s="13">
        <v>0.22677918599999999</v>
      </c>
      <c r="AO109" s="13">
        <v>0.29321016100000002</v>
      </c>
      <c r="AP109" s="14">
        <v>-0.342109467</v>
      </c>
      <c r="AQ109" s="14">
        <v>0.82484386600000004</v>
      </c>
    </row>
    <row r="110" spans="1:43" hidden="1" x14ac:dyDescent="0.25">
      <c r="A110" s="15" t="s">
        <v>52</v>
      </c>
      <c r="B110" s="16" t="e">
        <f>VLOOKUP(Sheet1!D110,Sheet2!A107,1,FALSE)</f>
        <v>#N/A</v>
      </c>
      <c r="C110" s="15" t="s">
        <v>23</v>
      </c>
      <c r="D110" s="15" t="s">
        <v>65</v>
      </c>
      <c r="E110" s="16" t="s">
        <v>45</v>
      </c>
      <c r="F110" s="13">
        <v>1.9868588999999999E-2</v>
      </c>
      <c r="G110" s="13">
        <v>2.2411855000000001E-2</v>
      </c>
      <c r="H110" s="13">
        <v>2.8061988E-2</v>
      </c>
      <c r="I110" s="13">
        <v>3.5282737000000002E-2</v>
      </c>
      <c r="J110" s="13">
        <v>3.9778837999999997E-2</v>
      </c>
      <c r="K110" s="13">
        <v>4.2678112999999997E-2</v>
      </c>
      <c r="L110" s="13">
        <v>4.4663138999999998E-2</v>
      </c>
      <c r="M110" s="13">
        <v>-1.9220750000000002E-2</v>
      </c>
      <c r="N110" s="13">
        <v>-1.259061E-2</v>
      </c>
      <c r="O110" s="13">
        <v>-3.8912930000000001E-3</v>
      </c>
      <c r="P110" s="13">
        <v>5.956327E-3</v>
      </c>
      <c r="Q110" s="13">
        <v>1.2897937999999999E-2</v>
      </c>
      <c r="R110" s="13">
        <v>1.7865941E-2</v>
      </c>
      <c r="S110" s="13">
        <v>2.1409721E-2</v>
      </c>
      <c r="T110" s="13">
        <v>6.0337098999999998E-2</v>
      </c>
      <c r="U110" s="13">
        <v>5.8307380999999998E-2</v>
      </c>
      <c r="V110" s="13">
        <v>6.0917913999999997E-2</v>
      </c>
      <c r="W110" s="13">
        <v>6.5354928000000007E-2</v>
      </c>
      <c r="X110" s="13">
        <v>6.7392023999999995E-2</v>
      </c>
      <c r="Y110" s="13">
        <v>6.8479152000000001E-2</v>
      </c>
      <c r="Z110" s="13">
        <v>6.8764118999999999E-2</v>
      </c>
      <c r="AA110" s="13">
        <v>-5.5961969999999998E-3</v>
      </c>
      <c r="AB110" s="13">
        <v>-3.2466999999999999E-3</v>
      </c>
      <c r="AC110" s="13">
        <v>4.3553910000000001E-3</v>
      </c>
      <c r="AD110" s="13">
        <v>1.2590492E-2</v>
      </c>
      <c r="AE110" s="13">
        <v>1.7813262E-2</v>
      </c>
      <c r="AF110" s="13">
        <v>2.2389771999999999E-2</v>
      </c>
      <c r="AG110" s="13">
        <v>2.5073422000000001E-2</v>
      </c>
      <c r="AH110" s="13">
        <v>4.5991635000000003E-2</v>
      </c>
      <c r="AI110" s="13">
        <v>4.8737136E-2</v>
      </c>
      <c r="AJ110" s="13">
        <v>5.2333380999999998E-2</v>
      </c>
      <c r="AK110" s="13">
        <v>5.8488232000000001E-2</v>
      </c>
      <c r="AL110" s="13">
        <v>6.2222986000000001E-2</v>
      </c>
      <c r="AM110" s="13">
        <v>6.3372755000000003E-2</v>
      </c>
      <c r="AN110" s="13">
        <v>6.4630680999999995E-2</v>
      </c>
      <c r="AO110" s="13">
        <v>0.10127167300000001</v>
      </c>
      <c r="AP110" s="14">
        <v>-8.4260836000000006E-2</v>
      </c>
      <c r="AQ110" s="14">
        <v>0.57017728199999995</v>
      </c>
    </row>
    <row r="111" spans="1:43" hidden="1" x14ac:dyDescent="0.25">
      <c r="A111" s="15" t="s">
        <v>52</v>
      </c>
      <c r="B111" s="16" t="e">
        <f>VLOOKUP(Sheet1!D111,Sheet2!A108,1,FALSE)</f>
        <v>#N/A</v>
      </c>
      <c r="C111" s="15" t="s">
        <v>23</v>
      </c>
      <c r="D111" s="15" t="s">
        <v>24</v>
      </c>
      <c r="E111" s="16" t="s">
        <v>46</v>
      </c>
      <c r="F111" s="13">
        <v>-2.9001439999999999E-3</v>
      </c>
      <c r="G111" s="13">
        <v>5.4608900000000004E-4</v>
      </c>
      <c r="H111" s="13">
        <v>8.3998619999999993E-3</v>
      </c>
      <c r="I111" s="13">
        <v>1.8804089999999999E-2</v>
      </c>
      <c r="J111" s="13">
        <v>2.5499283000000001E-2</v>
      </c>
      <c r="K111" s="13">
        <v>2.9899575000000001E-2</v>
      </c>
      <c r="L111" s="13">
        <v>3.2942304999999998E-2</v>
      </c>
      <c r="M111" s="13">
        <v>-3.2614122000000002E-2</v>
      </c>
      <c r="N111" s="13">
        <v>-2.6433060000000001E-2</v>
      </c>
      <c r="O111" s="13">
        <v>-1.6770205E-2</v>
      </c>
      <c r="P111" s="13">
        <v>-4.3882920000000002E-3</v>
      </c>
      <c r="Q111" s="13">
        <v>3.4934710000000002E-3</v>
      </c>
      <c r="R111" s="13">
        <v>9.3898860000000001E-3</v>
      </c>
      <c r="S111" s="13">
        <v>1.3511884E-2</v>
      </c>
      <c r="T111" s="13">
        <v>2.782126E-2</v>
      </c>
      <c r="U111" s="13">
        <v>2.8213038999999999E-2</v>
      </c>
      <c r="V111" s="13">
        <v>3.4059555999999998E-2</v>
      </c>
      <c r="W111" s="13">
        <v>4.2746622999999997E-2</v>
      </c>
      <c r="X111" s="13">
        <v>4.7688030999999999E-2</v>
      </c>
      <c r="Y111" s="13">
        <v>5.0698487E-2</v>
      </c>
      <c r="Z111" s="13">
        <v>5.2435234999999997E-2</v>
      </c>
      <c r="AA111" s="13">
        <v>-1.9889777000000001E-2</v>
      </c>
      <c r="AB111" s="13">
        <v>-1.6939176E-2</v>
      </c>
      <c r="AC111" s="13">
        <v>-9.7134249999999995E-3</v>
      </c>
      <c r="AD111" s="13">
        <v>7.15129E-4</v>
      </c>
      <c r="AE111" s="13">
        <v>7.3281300000000004E-3</v>
      </c>
      <c r="AF111" s="13">
        <v>1.2763656999999999E-2</v>
      </c>
      <c r="AG111" s="13">
        <v>1.6832106999999999E-2</v>
      </c>
      <c r="AH111" s="13">
        <v>1.4385505E-2</v>
      </c>
      <c r="AI111" s="13">
        <v>1.8343946999999999E-2</v>
      </c>
      <c r="AJ111" s="13">
        <v>2.6846140000000001E-2</v>
      </c>
      <c r="AK111" s="13">
        <v>3.7221670999999998E-2</v>
      </c>
      <c r="AL111" s="13">
        <v>4.3999861000000001E-2</v>
      </c>
      <c r="AM111" s="13">
        <v>4.7326875999999997E-2</v>
      </c>
      <c r="AN111" s="13">
        <v>4.9309009000000001E-2</v>
      </c>
      <c r="AO111" s="13">
        <v>8.2469771999999997E-2</v>
      </c>
      <c r="AP111" s="14">
        <v>0.38795127099999999</v>
      </c>
      <c r="AQ111" s="14">
        <v>4.3826113E-2</v>
      </c>
    </row>
    <row r="112" spans="1:43" hidden="1" x14ac:dyDescent="0.25">
      <c r="A112" s="15" t="s">
        <v>52</v>
      </c>
      <c r="B112" s="16" t="e">
        <f>VLOOKUP(Sheet1!D112,Sheet2!A109,1,FALSE)</f>
        <v>#N/A</v>
      </c>
      <c r="C112" s="15" t="s">
        <v>23</v>
      </c>
      <c r="D112" s="15" t="s">
        <v>25</v>
      </c>
      <c r="E112" s="16" t="s">
        <v>45</v>
      </c>
      <c r="F112" s="13">
        <v>3.6731778999999999E-2</v>
      </c>
      <c r="G112" s="13">
        <v>3.8590438999999997E-2</v>
      </c>
      <c r="H112" s="13">
        <v>4.2574661999999999E-2</v>
      </c>
      <c r="I112" s="13">
        <v>4.7400544000000003E-2</v>
      </c>
      <c r="J112" s="13">
        <v>5.0250211000000003E-2</v>
      </c>
      <c r="K112" s="13">
        <v>5.2029317999999998E-2</v>
      </c>
      <c r="L112" s="13">
        <v>5.3226755000000001E-2</v>
      </c>
      <c r="M112" s="13">
        <v>1.3080489999999999E-3</v>
      </c>
      <c r="N112" s="13">
        <v>6.8035300000000003E-3</v>
      </c>
      <c r="O112" s="13">
        <v>1.3675671E-2</v>
      </c>
      <c r="P112" s="13">
        <v>2.1005614999999998E-2</v>
      </c>
      <c r="Q112" s="13">
        <v>2.6281338000000001E-2</v>
      </c>
      <c r="R112" s="13">
        <v>3.0004861000000001E-2</v>
      </c>
      <c r="S112" s="13">
        <v>3.2234983000000002E-2</v>
      </c>
      <c r="T112" s="13">
        <v>7.3033431999999995E-2</v>
      </c>
      <c r="U112" s="13">
        <v>7.1067995999999994E-2</v>
      </c>
      <c r="V112" s="13">
        <v>7.2276330999999999E-2</v>
      </c>
      <c r="W112" s="13">
        <v>7.4314606000000005E-2</v>
      </c>
      <c r="X112" s="13">
        <v>7.4868199999999996E-2</v>
      </c>
      <c r="Y112" s="13">
        <v>7.4732604999999994E-2</v>
      </c>
      <c r="Z112" s="13">
        <v>7.4598752000000004E-2</v>
      </c>
      <c r="AA112" s="13">
        <v>1.4731549E-2</v>
      </c>
      <c r="AB112" s="13">
        <v>1.6988567E-2</v>
      </c>
      <c r="AC112" s="13">
        <v>2.1763274999999999E-2</v>
      </c>
      <c r="AD112" s="13">
        <v>2.5596964E-2</v>
      </c>
      <c r="AE112" s="13">
        <v>2.9015300000000001E-2</v>
      </c>
      <c r="AF112" s="13">
        <v>3.3198424999999997E-2</v>
      </c>
      <c r="AG112" s="13">
        <v>3.5356339000000001E-2</v>
      </c>
      <c r="AH112" s="13">
        <v>5.9214700000000002E-2</v>
      </c>
      <c r="AI112" s="13">
        <v>6.0656635E-2</v>
      </c>
      <c r="AJ112" s="13">
        <v>6.3814975999999995E-2</v>
      </c>
      <c r="AK112" s="13">
        <v>6.9673146000000005E-2</v>
      </c>
      <c r="AL112" s="13">
        <v>7.1928500000000006E-2</v>
      </c>
      <c r="AM112" s="13">
        <v>7.1207455000000003E-2</v>
      </c>
      <c r="AN112" s="13">
        <v>7.1409233000000003E-2</v>
      </c>
      <c r="AO112" s="13">
        <v>9.2519703999999994E-2</v>
      </c>
      <c r="AP112" s="14">
        <v>-0.117757502</v>
      </c>
      <c r="AQ112" s="14">
        <v>0.51658109200000002</v>
      </c>
    </row>
    <row r="113" spans="1:43" hidden="1" x14ac:dyDescent="0.25">
      <c r="A113" s="15" t="s">
        <v>52</v>
      </c>
      <c r="B113" s="16" t="e">
        <f>VLOOKUP(Sheet1!D113,Sheet2!A110,1,FALSE)</f>
        <v>#N/A</v>
      </c>
      <c r="C113" s="15" t="s">
        <v>23</v>
      </c>
      <c r="D113" s="15" t="s">
        <v>26</v>
      </c>
      <c r="E113" s="16" t="s">
        <v>45</v>
      </c>
      <c r="F113" s="13">
        <v>4.7262691000000003E-2</v>
      </c>
      <c r="G113" s="13">
        <v>4.9099159000000003E-2</v>
      </c>
      <c r="H113" s="13">
        <v>5.3025907999999997E-2</v>
      </c>
      <c r="I113" s="13">
        <v>5.7763430999999997E-2</v>
      </c>
      <c r="J113" s="13">
        <v>6.0549417000000001E-2</v>
      </c>
      <c r="K113" s="13">
        <v>6.2284214999999997E-2</v>
      </c>
      <c r="L113" s="13">
        <v>6.3450181999999994E-2</v>
      </c>
      <c r="M113" s="13">
        <v>-8.6325160999999997E-2</v>
      </c>
      <c r="N113" s="13">
        <v>-7.5740167999999997E-2</v>
      </c>
      <c r="O113" s="13">
        <v>-6.2841039000000001E-2</v>
      </c>
      <c r="P113" s="13">
        <v>-4.7153411999999999E-2</v>
      </c>
      <c r="Q113" s="13">
        <v>-3.5556743000000002E-2</v>
      </c>
      <c r="R113" s="13">
        <v>-2.7624712999999999E-2</v>
      </c>
      <c r="S113" s="13">
        <v>-1.9840263E-2</v>
      </c>
      <c r="T113" s="13">
        <v>0.20268486099999999</v>
      </c>
      <c r="U113" s="13">
        <v>0.191719308</v>
      </c>
      <c r="V113" s="13">
        <v>0.18385246199999999</v>
      </c>
      <c r="W113" s="13">
        <v>0.17346425900000001</v>
      </c>
      <c r="X113" s="13">
        <v>0.16614230599999999</v>
      </c>
      <c r="Y113" s="13">
        <v>0.15967983899999999</v>
      </c>
      <c r="Z113" s="13">
        <v>0.15386963300000001</v>
      </c>
      <c r="AA113" s="13">
        <v>-8.0961019999999995E-2</v>
      </c>
      <c r="AB113" s="13">
        <v>-7.2111493999999998E-2</v>
      </c>
      <c r="AC113" s="13">
        <v>-6.1185328999999997E-2</v>
      </c>
      <c r="AD113" s="13">
        <v>-4.8796381E-2</v>
      </c>
      <c r="AE113" s="13">
        <v>-3.5142768999999997E-2</v>
      </c>
      <c r="AF113" s="13">
        <v>-2.7567233999999999E-2</v>
      </c>
      <c r="AG113" s="13">
        <v>-1.9681990999999999E-2</v>
      </c>
      <c r="AH113" s="13">
        <v>0.193672924</v>
      </c>
      <c r="AI113" s="13">
        <v>0.186403807</v>
      </c>
      <c r="AJ113" s="13">
        <v>0.181357085</v>
      </c>
      <c r="AK113" s="13">
        <v>0.17645206799999999</v>
      </c>
      <c r="AL113" s="13">
        <v>0.165881994</v>
      </c>
      <c r="AM113" s="13">
        <v>0.16056788899999999</v>
      </c>
      <c r="AN113" s="13">
        <v>0.15374163800000001</v>
      </c>
      <c r="AO113" s="13">
        <v>0.165161797</v>
      </c>
      <c r="AP113" s="14">
        <v>-0.129173907</v>
      </c>
      <c r="AQ113" s="14">
        <v>0.55820547099999995</v>
      </c>
    </row>
    <row r="114" spans="1:43" hidden="1" x14ac:dyDescent="0.25">
      <c r="A114" s="15" t="s">
        <v>52</v>
      </c>
      <c r="B114" s="16" t="e">
        <f>VLOOKUP(Sheet1!D114,Sheet2!A111,1,FALSE)</f>
        <v>#N/A</v>
      </c>
      <c r="C114" s="15" t="s">
        <v>23</v>
      </c>
      <c r="D114" s="15" t="s">
        <v>27</v>
      </c>
      <c r="E114" s="16" t="s">
        <v>47</v>
      </c>
      <c r="F114" s="13">
        <v>3.3046038E-2</v>
      </c>
      <c r="G114" s="13">
        <v>3.5170543999999998E-2</v>
      </c>
      <c r="H114" s="13">
        <v>3.9804313000000001E-2</v>
      </c>
      <c r="I114" s="13">
        <v>4.5568009999999999E-2</v>
      </c>
      <c r="J114" s="13">
        <v>4.9064331000000003E-2</v>
      </c>
      <c r="K114" s="13">
        <v>5.1283955999999999E-2</v>
      </c>
      <c r="L114" s="13">
        <v>5.2791254000000003E-2</v>
      </c>
      <c r="M114" s="13">
        <v>-5.4438289999999999E-3</v>
      </c>
      <c r="N114" s="13">
        <v>-3.3659800000000002E-4</v>
      </c>
      <c r="O114" s="13">
        <v>7.1010489999999999E-3</v>
      </c>
      <c r="P114" s="13">
        <v>1.6418703E-2</v>
      </c>
      <c r="Q114" s="13">
        <v>2.2623259E-2</v>
      </c>
      <c r="R114" s="13">
        <v>2.6595812E-2</v>
      </c>
      <c r="S114" s="13">
        <v>2.9397195000000001E-2</v>
      </c>
      <c r="T114" s="13">
        <v>7.3266380000000006E-2</v>
      </c>
      <c r="U114" s="13">
        <v>7.1467663000000001E-2</v>
      </c>
      <c r="V114" s="13">
        <v>7.3146273999999997E-2</v>
      </c>
      <c r="W114" s="13">
        <v>7.5623477999999994E-2</v>
      </c>
      <c r="X114" s="13">
        <v>7.6491767000000002E-2</v>
      </c>
      <c r="Y114" s="13">
        <v>7.6670064999999996E-2</v>
      </c>
      <c r="Z114" s="13">
        <v>7.6499270999999994E-2</v>
      </c>
      <c r="AA114" s="13">
        <v>2.973851E-3</v>
      </c>
      <c r="AB114" s="13">
        <v>6.4426479999999996E-3</v>
      </c>
      <c r="AC114" s="13">
        <v>1.2762268E-2</v>
      </c>
      <c r="AD114" s="13">
        <v>1.9611969E-2</v>
      </c>
      <c r="AE114" s="13">
        <v>2.5096630000000002E-2</v>
      </c>
      <c r="AF114" s="13">
        <v>2.8945624999999999E-2</v>
      </c>
      <c r="AG114" s="13">
        <v>3.1962005000000002E-2</v>
      </c>
      <c r="AH114" s="13">
        <v>6.4038226000000004E-2</v>
      </c>
      <c r="AI114" s="13">
        <v>6.4735075000000003E-2</v>
      </c>
      <c r="AJ114" s="13">
        <v>6.7582960999999997E-2</v>
      </c>
      <c r="AK114" s="13">
        <v>7.2198028999999997E-2</v>
      </c>
      <c r="AL114" s="13">
        <v>7.3603574000000005E-2</v>
      </c>
      <c r="AM114" s="13">
        <v>7.4116882999999995E-2</v>
      </c>
      <c r="AN114" s="13">
        <v>7.4049237000000004E-2</v>
      </c>
      <c r="AO114" s="13">
        <v>7.4110272000000005E-2</v>
      </c>
      <c r="AP114" s="14">
        <v>-0.372887054</v>
      </c>
      <c r="AQ114" s="14">
        <v>0.83261909700000003</v>
      </c>
    </row>
    <row r="115" spans="1:43" hidden="1" x14ac:dyDescent="0.25">
      <c r="A115" s="15" t="s">
        <v>52</v>
      </c>
      <c r="B115" s="16" t="e">
        <f>VLOOKUP(Sheet1!D115,Sheet2!A112,1,FALSE)</f>
        <v>#N/A</v>
      </c>
      <c r="C115" s="15" t="s">
        <v>23</v>
      </c>
      <c r="D115" s="15" t="s">
        <v>195</v>
      </c>
      <c r="E115" s="16" t="s">
        <v>45</v>
      </c>
      <c r="F115" s="13">
        <v>4.4060787999999997E-2</v>
      </c>
      <c r="G115" s="13">
        <v>4.5087974000000003E-2</v>
      </c>
      <c r="H115" s="13">
        <v>4.7057854000000003E-2</v>
      </c>
      <c r="I115" s="13">
        <v>4.9006921000000002E-2</v>
      </c>
      <c r="J115" s="13">
        <v>4.9890565999999997E-2</v>
      </c>
      <c r="K115" s="13">
        <v>5.0337073000000003E-2</v>
      </c>
      <c r="L115" s="13">
        <v>5.0599808000000003E-2</v>
      </c>
      <c r="M115" s="13">
        <v>-8.4601450000000005E-3</v>
      </c>
      <c r="N115" s="13">
        <v>-2.816958E-3</v>
      </c>
      <c r="O115" s="13">
        <v>1.8544519999999999E-3</v>
      </c>
      <c r="P115" s="13">
        <v>5.6080629999999999E-3</v>
      </c>
      <c r="Q115" s="13">
        <v>8.0370170000000005E-3</v>
      </c>
      <c r="R115" s="13">
        <v>1.0782655E-2</v>
      </c>
      <c r="S115" s="13">
        <v>1.3265010000000001E-2</v>
      </c>
      <c r="T115" s="13">
        <v>9.9739462000000001E-2</v>
      </c>
      <c r="U115" s="13">
        <v>9.6192337000000003E-2</v>
      </c>
      <c r="V115" s="13">
        <v>9.4985485999999994E-2</v>
      </c>
      <c r="W115" s="13">
        <v>9.4656659000000004E-2</v>
      </c>
      <c r="X115" s="13">
        <v>9.3352381999999998E-2</v>
      </c>
      <c r="Y115" s="13">
        <v>9.1307220999999994E-2</v>
      </c>
      <c r="Z115" s="13">
        <v>8.9440359999999997E-2</v>
      </c>
      <c r="AA115" s="13">
        <v>8.6953350000000002E-3</v>
      </c>
      <c r="AB115" s="13">
        <v>1.0041171999999999E-2</v>
      </c>
      <c r="AC115" s="13">
        <v>1.0074068E-2</v>
      </c>
      <c r="AD115" s="13">
        <v>1.1036618999999999E-2</v>
      </c>
      <c r="AE115" s="13">
        <v>1.2962893E-2</v>
      </c>
      <c r="AF115" s="13">
        <v>1.5760461E-2</v>
      </c>
      <c r="AG115" s="13">
        <v>1.7065467000000001E-2</v>
      </c>
      <c r="AH115" s="13">
        <v>8.0677712999999998E-2</v>
      </c>
      <c r="AI115" s="13">
        <v>8.1362147999999995E-2</v>
      </c>
      <c r="AJ115" s="13">
        <v>8.5408387000000002E-2</v>
      </c>
      <c r="AK115" s="13">
        <v>8.8416476999999993E-2</v>
      </c>
      <c r="AL115" s="13">
        <v>8.8176915999999994E-2</v>
      </c>
      <c r="AM115" s="13">
        <v>8.6101553999999997E-2</v>
      </c>
      <c r="AN115" s="13">
        <v>8.5250035000000002E-2</v>
      </c>
      <c r="AO115" s="13">
        <v>0.12796232900000001</v>
      </c>
      <c r="AP115" s="14">
        <v>-3.5494480000000002E-2</v>
      </c>
      <c r="AQ115" s="14">
        <v>0.39785073100000001</v>
      </c>
    </row>
    <row r="116" spans="1:43" hidden="1" x14ac:dyDescent="0.25">
      <c r="A116" s="15" t="s">
        <v>52</v>
      </c>
      <c r="B116" s="16" t="e">
        <f>VLOOKUP(Sheet1!D116,Sheet2!A113,1,FALSE)</f>
        <v>#N/A</v>
      </c>
      <c r="C116" s="15" t="s">
        <v>23</v>
      </c>
      <c r="D116" s="15" t="s">
        <v>28</v>
      </c>
      <c r="E116" s="16" t="s">
        <v>45</v>
      </c>
      <c r="F116" s="13">
        <v>6.1401242000000002E-2</v>
      </c>
      <c r="G116" s="13">
        <v>6.2987730000000006E-2</v>
      </c>
      <c r="H116" s="13">
        <v>6.6307783999999995E-2</v>
      </c>
      <c r="I116" s="13">
        <v>7.0176631000000003E-2</v>
      </c>
      <c r="J116" s="13">
        <v>7.2367615999999996E-2</v>
      </c>
      <c r="K116" s="13">
        <v>7.3698554999999999E-2</v>
      </c>
      <c r="L116" s="13">
        <v>7.4581005000000006E-2</v>
      </c>
      <c r="M116" s="13">
        <v>-4.5500000000000001E-5</v>
      </c>
      <c r="N116" s="13">
        <v>6.3941670000000001E-3</v>
      </c>
      <c r="O116" s="13">
        <v>1.2495106000000001E-2</v>
      </c>
      <c r="P116" s="13">
        <v>1.9640474000000002E-2</v>
      </c>
      <c r="Q116" s="13">
        <v>2.4783373000000001E-2</v>
      </c>
      <c r="R116" s="13">
        <v>2.8502385000000002E-2</v>
      </c>
      <c r="S116" s="13">
        <v>3.1600781000000001E-2</v>
      </c>
      <c r="T116" s="13">
        <v>0.12739492499999999</v>
      </c>
      <c r="U116" s="13">
        <v>0.12342384000000001</v>
      </c>
      <c r="V116" s="13">
        <v>0.122454326</v>
      </c>
      <c r="W116" s="13">
        <v>0.123438885</v>
      </c>
      <c r="X116" s="13">
        <v>0.122535162</v>
      </c>
      <c r="Y116" s="13">
        <v>0.121446314</v>
      </c>
      <c r="Z116" s="13">
        <v>0.119546099</v>
      </c>
      <c r="AA116" s="13">
        <v>1.8413583000000001E-2</v>
      </c>
      <c r="AB116" s="13">
        <v>2.2252790000000001E-2</v>
      </c>
      <c r="AC116" s="13">
        <v>2.6962030000000001E-2</v>
      </c>
      <c r="AD116" s="13">
        <v>3.015431E-2</v>
      </c>
      <c r="AE116" s="13">
        <v>3.1988787999999997E-2</v>
      </c>
      <c r="AF116" s="13">
        <v>3.4403487000000003E-2</v>
      </c>
      <c r="AG116" s="13">
        <v>3.5591101999999999E-2</v>
      </c>
      <c r="AH116" s="13">
        <v>0.106249092</v>
      </c>
      <c r="AI116" s="13">
        <v>0.10538657799999999</v>
      </c>
      <c r="AJ116" s="13">
        <v>0.10719859800000001</v>
      </c>
      <c r="AK116" s="13">
        <v>0.111792523</v>
      </c>
      <c r="AL116" s="13">
        <v>0.11436557899999999</v>
      </c>
      <c r="AM116" s="13">
        <v>0.114523343</v>
      </c>
      <c r="AN116" s="13">
        <v>0.11507518799999999</v>
      </c>
      <c r="AO116" s="13">
        <v>0.15406167900000001</v>
      </c>
      <c r="AP116" s="14">
        <v>-0.31915267600000002</v>
      </c>
      <c r="AQ116" s="14">
        <v>0.57090081199999998</v>
      </c>
    </row>
    <row r="117" spans="1:43" hidden="1" x14ac:dyDescent="0.25">
      <c r="A117" s="15" t="s">
        <v>78</v>
      </c>
      <c r="B117" s="16" t="e">
        <f>VLOOKUP(Sheet1!D117,Sheet2!A114,1,FALSE)</f>
        <v>#N/A</v>
      </c>
      <c r="C117" s="15" t="s">
        <v>15</v>
      </c>
      <c r="D117" s="15" t="s">
        <v>17</v>
      </c>
      <c r="E117" s="16" t="s">
        <v>29</v>
      </c>
      <c r="F117" s="13">
        <v>5.7971515000000001E-2</v>
      </c>
      <c r="G117" s="13">
        <v>5.9593147999999999E-2</v>
      </c>
      <c r="H117" s="13">
        <v>6.2849963999999994E-2</v>
      </c>
      <c r="I117" s="13">
        <v>6.6440146000000005E-2</v>
      </c>
      <c r="J117" s="13">
        <v>6.8377425000000006E-2</v>
      </c>
      <c r="K117" s="13">
        <v>6.9525985999999998E-2</v>
      </c>
      <c r="L117" s="13">
        <v>7.0279675999999999E-2</v>
      </c>
      <c r="M117" s="13">
        <v>-1.7600350000000001E-3</v>
      </c>
      <c r="N117" s="13">
        <v>4.9671560000000003E-3</v>
      </c>
      <c r="O117" s="13">
        <v>1.0553238E-2</v>
      </c>
      <c r="P117" s="13">
        <v>1.5698327000000002E-2</v>
      </c>
      <c r="Q117" s="13">
        <v>1.945444E-2</v>
      </c>
      <c r="R117" s="13">
        <v>2.2374826E-2</v>
      </c>
      <c r="S117" s="13">
        <v>2.5447282000000002E-2</v>
      </c>
      <c r="T117" s="13">
        <v>0.121141996</v>
      </c>
      <c r="U117" s="13">
        <v>0.11728002</v>
      </c>
      <c r="V117" s="13">
        <v>0.11753111199999999</v>
      </c>
      <c r="W117" s="13">
        <v>0.119490097</v>
      </c>
      <c r="X117" s="13">
        <v>0.120245805</v>
      </c>
      <c r="Y117" s="13">
        <v>0.118331616</v>
      </c>
      <c r="Z117" s="13">
        <v>0.11656570099999999</v>
      </c>
      <c r="AA117" s="13">
        <v>2.3852806000000001E-2</v>
      </c>
      <c r="AB117" s="13">
        <v>2.4207281000000001E-2</v>
      </c>
      <c r="AC117" s="13">
        <v>2.3516400999999999E-2</v>
      </c>
      <c r="AD117" s="13">
        <v>2.6337394E-2</v>
      </c>
      <c r="AE117" s="13">
        <v>2.8459261999999999E-2</v>
      </c>
      <c r="AF117" s="13">
        <v>3.0096092000000001E-2</v>
      </c>
      <c r="AG117" s="13">
        <v>3.2353351000000002E-2</v>
      </c>
      <c r="AH117" s="13">
        <v>9.3227192E-2</v>
      </c>
      <c r="AI117" s="13">
        <v>9.6201578999999995E-2</v>
      </c>
      <c r="AJ117" s="13">
        <v>0.103695115</v>
      </c>
      <c r="AK117" s="13">
        <v>0.10810986</v>
      </c>
      <c r="AL117" s="13">
        <v>0.10984495499999999</v>
      </c>
      <c r="AM117" s="13">
        <v>0.110465176</v>
      </c>
      <c r="AN117" s="13">
        <v>0.10959933700000001</v>
      </c>
      <c r="AO117" s="13">
        <v>0.15875941800000001</v>
      </c>
      <c r="AP117" s="14">
        <v>-0.14275438800000001</v>
      </c>
      <c r="AQ117" s="14">
        <v>0.84288092400000003</v>
      </c>
    </row>
    <row r="118" spans="1:43" hidden="1" x14ac:dyDescent="0.25">
      <c r="A118" s="15" t="s">
        <v>78</v>
      </c>
      <c r="B118" s="16" t="e">
        <f>VLOOKUP(Sheet1!D118,Sheet2!A115,1,FALSE)</f>
        <v>#N/A</v>
      </c>
      <c r="C118" s="15" t="s">
        <v>15</v>
      </c>
      <c r="D118" s="15" t="s">
        <v>192</v>
      </c>
      <c r="E118" s="16" t="s">
        <v>30</v>
      </c>
      <c r="F118" s="13">
        <v>3.3880237000000001E-2</v>
      </c>
      <c r="G118" s="13">
        <v>3.6810693999999998E-2</v>
      </c>
      <c r="H118" s="13">
        <v>4.3253579E-2</v>
      </c>
      <c r="I118" s="13">
        <v>5.1422790000000003E-2</v>
      </c>
      <c r="J118" s="13">
        <v>5.6505816E-2</v>
      </c>
      <c r="K118" s="13">
        <v>5.9793343999999998E-2</v>
      </c>
      <c r="L118" s="13">
        <v>6.2050345E-2</v>
      </c>
      <c r="M118" s="13">
        <v>-2.2978569000000001E-2</v>
      </c>
      <c r="N118" s="13">
        <v>-1.4313826999999999E-2</v>
      </c>
      <c r="O118" s="13">
        <v>-2.3670409999999999E-3</v>
      </c>
      <c r="P118" s="13">
        <v>1.1198410000000001E-2</v>
      </c>
      <c r="Q118" s="13">
        <v>1.960141E-2</v>
      </c>
      <c r="R118" s="13">
        <v>2.5916675E-2</v>
      </c>
      <c r="S118" s="13">
        <v>3.0211713000000001E-2</v>
      </c>
      <c r="T118" s="13">
        <v>9.4964472999999994E-2</v>
      </c>
      <c r="U118" s="13">
        <v>9.0271907999999998E-2</v>
      </c>
      <c r="V118" s="13">
        <v>9.1193196000000004E-2</v>
      </c>
      <c r="W118" s="13">
        <v>9.3698993999999994E-2</v>
      </c>
      <c r="X118" s="13">
        <v>9.5046850000000002E-2</v>
      </c>
      <c r="Y118" s="13">
        <v>9.4700066999999999E-2</v>
      </c>
      <c r="Z118" s="13">
        <v>9.4582669999999994E-2</v>
      </c>
      <c r="AA118" s="13">
        <v>3.281431E-3</v>
      </c>
      <c r="AB118" s="13">
        <v>8.2613489999999994E-3</v>
      </c>
      <c r="AC118" s="13">
        <v>1.3616207E-2</v>
      </c>
      <c r="AD118" s="13">
        <v>2.3996111000000001E-2</v>
      </c>
      <c r="AE118" s="13">
        <v>2.9729671999999999E-2</v>
      </c>
      <c r="AF118" s="13">
        <v>3.4980009999999999E-2</v>
      </c>
      <c r="AG118" s="13">
        <v>3.8532363E-2</v>
      </c>
      <c r="AH118" s="13">
        <v>6.5412268999999995E-2</v>
      </c>
      <c r="AI118" s="13">
        <v>6.6168425000000003E-2</v>
      </c>
      <c r="AJ118" s="13">
        <v>7.3757526000000004E-2</v>
      </c>
      <c r="AK118" s="13">
        <v>7.9584064999999996E-2</v>
      </c>
      <c r="AL118" s="13">
        <v>8.3978223000000005E-2</v>
      </c>
      <c r="AM118" s="13">
        <v>8.5201572000000003E-2</v>
      </c>
      <c r="AN118" s="13">
        <v>8.6100911000000002E-2</v>
      </c>
      <c r="AO118" s="13">
        <v>0.16129127900000001</v>
      </c>
      <c r="AP118" s="14">
        <v>-0.164542201</v>
      </c>
      <c r="AQ118" s="14">
        <v>0.83884041899999995</v>
      </c>
    </row>
    <row r="119" spans="1:43" hidden="1" x14ac:dyDescent="0.25">
      <c r="A119" s="15" t="s">
        <v>78</v>
      </c>
      <c r="B119" s="16" t="e">
        <f>VLOOKUP(Sheet1!D119,Sheet2!A116,1,FALSE)</f>
        <v>#N/A</v>
      </c>
      <c r="C119" s="15" t="s">
        <v>15</v>
      </c>
      <c r="D119" s="15" t="s">
        <v>79</v>
      </c>
      <c r="E119" s="16" t="s">
        <v>86</v>
      </c>
      <c r="F119" s="13">
        <v>8.2576958000000006E-2</v>
      </c>
      <c r="G119" s="13">
        <v>8.2721036999999997E-2</v>
      </c>
      <c r="H119" s="13">
        <v>8.2399494000000004E-2</v>
      </c>
      <c r="I119" s="13">
        <v>8.0890000000000004E-2</v>
      </c>
      <c r="J119" s="13">
        <v>7.9352111000000003E-2</v>
      </c>
      <c r="K119" s="13">
        <v>7.8150441000000001E-2</v>
      </c>
      <c r="L119" s="13">
        <v>7.7258382E-2</v>
      </c>
      <c r="M119" s="13">
        <v>1.0993268E-2</v>
      </c>
      <c r="N119" s="13">
        <v>1.5062325E-2</v>
      </c>
      <c r="O119" s="13">
        <v>1.7044482999999999E-2</v>
      </c>
      <c r="P119" s="13">
        <v>1.6841420999999999E-2</v>
      </c>
      <c r="Q119" s="13">
        <v>1.7789850999999999E-2</v>
      </c>
      <c r="R119" s="13">
        <v>2.0358541000000001E-2</v>
      </c>
      <c r="S119" s="13">
        <v>2.1505156000000001E-2</v>
      </c>
      <c r="T119" s="13">
        <v>0.15944372500000001</v>
      </c>
      <c r="U119" s="13">
        <v>0.15353233599999999</v>
      </c>
      <c r="V119" s="13">
        <v>0.15155295199999999</v>
      </c>
      <c r="W119" s="13">
        <v>0.14776692599999999</v>
      </c>
      <c r="X119" s="13">
        <v>0.14407819699999999</v>
      </c>
      <c r="Y119" s="13">
        <v>0.139265676</v>
      </c>
      <c r="Z119" s="13">
        <v>0.13558035500000001</v>
      </c>
      <c r="AA119" s="13">
        <v>3.6188826E-2</v>
      </c>
      <c r="AB119" s="13">
        <v>3.2974644999999997E-2</v>
      </c>
      <c r="AC119" s="13">
        <v>2.704807E-2</v>
      </c>
      <c r="AD119" s="13">
        <v>2.0921782999999999E-2</v>
      </c>
      <c r="AE119" s="13">
        <v>2.2482476000000001E-2</v>
      </c>
      <c r="AF119" s="13">
        <v>2.1498447E-2</v>
      </c>
      <c r="AG119" s="13">
        <v>2.3926302999999999E-2</v>
      </c>
      <c r="AH119" s="13">
        <v>0.13104180100000001</v>
      </c>
      <c r="AI119" s="13">
        <v>0.13486314799999999</v>
      </c>
      <c r="AJ119" s="13">
        <v>0.14073401299999999</v>
      </c>
      <c r="AK119" s="13">
        <v>0.144380709</v>
      </c>
      <c r="AL119" s="13">
        <v>0.13938479100000001</v>
      </c>
      <c r="AM119" s="13">
        <v>0.137944341</v>
      </c>
      <c r="AN119" s="13">
        <v>0.13336831299999999</v>
      </c>
      <c r="AO119" s="13">
        <v>0.16365022800000001</v>
      </c>
      <c r="AP119" s="14">
        <v>-0.21789062200000001</v>
      </c>
      <c r="AQ119" s="14">
        <v>0.82568787399999999</v>
      </c>
    </row>
    <row r="120" spans="1:43" hidden="1" x14ac:dyDescent="0.25">
      <c r="A120" s="15" t="s">
        <v>78</v>
      </c>
      <c r="B120" s="16" t="e">
        <f>VLOOKUP(Sheet1!D120,Sheet2!A117,1,FALSE)</f>
        <v>#N/A</v>
      </c>
      <c r="C120" s="15" t="s">
        <v>15</v>
      </c>
      <c r="D120" s="15" t="s">
        <v>18</v>
      </c>
      <c r="E120" s="16" t="s">
        <v>31</v>
      </c>
      <c r="F120" s="13">
        <v>4.6444912999999997E-2</v>
      </c>
      <c r="G120" s="13">
        <v>4.9822234999999999E-2</v>
      </c>
      <c r="H120" s="13">
        <v>5.7342589999999999E-2</v>
      </c>
      <c r="I120" s="13">
        <v>6.7046466999999998E-2</v>
      </c>
      <c r="J120" s="13">
        <v>7.3178353000000002E-2</v>
      </c>
      <c r="K120" s="13">
        <v>7.7177988000000003E-2</v>
      </c>
      <c r="L120" s="13">
        <v>7.9935484000000001E-2</v>
      </c>
      <c r="M120" s="13">
        <v>-1.9316889E-2</v>
      </c>
      <c r="N120" s="13">
        <v>-8.3241860000000008E-3</v>
      </c>
      <c r="O120" s="13">
        <v>6.0251890000000002E-3</v>
      </c>
      <c r="P120" s="13">
        <v>2.1917672999999999E-2</v>
      </c>
      <c r="Q120" s="13">
        <v>3.2168403999999998E-2</v>
      </c>
      <c r="R120" s="13">
        <v>3.9664363000000001E-2</v>
      </c>
      <c r="S120" s="13">
        <v>4.4876129000000001E-2</v>
      </c>
      <c r="T120" s="13">
        <v>0.117347189</v>
      </c>
      <c r="U120" s="13">
        <v>0.111947475</v>
      </c>
      <c r="V120" s="13">
        <v>0.11195648699999999</v>
      </c>
      <c r="W120" s="13">
        <v>0.114606428</v>
      </c>
      <c r="X120" s="13">
        <v>0.116470597</v>
      </c>
      <c r="Y120" s="13">
        <v>0.11683953800000001</v>
      </c>
      <c r="Z120" s="13">
        <v>0.11645075000000001</v>
      </c>
      <c r="AA120" s="13">
        <v>1.8190672000000001E-2</v>
      </c>
      <c r="AB120" s="13">
        <v>2.0982466000000002E-2</v>
      </c>
      <c r="AC120" s="13">
        <v>2.8632219E-2</v>
      </c>
      <c r="AD120" s="13">
        <v>3.7986288E-2</v>
      </c>
      <c r="AE120" s="13">
        <v>4.5655649E-2</v>
      </c>
      <c r="AF120" s="13">
        <v>5.2261798999999998E-2</v>
      </c>
      <c r="AG120" s="13">
        <v>5.6445492E-2</v>
      </c>
      <c r="AH120" s="13">
        <v>7.5483198000000001E-2</v>
      </c>
      <c r="AI120" s="13">
        <v>7.9476642E-2</v>
      </c>
      <c r="AJ120" s="13">
        <v>8.6854301999999994E-2</v>
      </c>
      <c r="AK120" s="13">
        <v>9.6920249999999999E-2</v>
      </c>
      <c r="AL120" s="13">
        <v>0.10142548699999999</v>
      </c>
      <c r="AM120" s="13">
        <v>0.10268416</v>
      </c>
      <c r="AN120" s="13">
        <v>0.10394777600000001</v>
      </c>
      <c r="AO120" s="13">
        <v>0.19523525</v>
      </c>
      <c r="AP120" s="14">
        <v>-0.122285765</v>
      </c>
      <c r="AQ120" s="14">
        <v>0.66137000099999999</v>
      </c>
    </row>
    <row r="121" spans="1:43" hidden="1" x14ac:dyDescent="0.25">
      <c r="A121" s="15" t="s">
        <v>78</v>
      </c>
      <c r="B121" s="16" t="e">
        <f>VLOOKUP(Sheet1!D121,Sheet2!A118,1,FALSE)</f>
        <v>#N/A</v>
      </c>
      <c r="C121" s="15" t="s">
        <v>15</v>
      </c>
      <c r="D121" s="15" t="s">
        <v>54</v>
      </c>
      <c r="E121" s="16" t="s">
        <v>67</v>
      </c>
      <c r="F121" s="13">
        <v>3.8556887999999997E-2</v>
      </c>
      <c r="G121" s="13">
        <v>4.1173249000000002E-2</v>
      </c>
      <c r="H121" s="13">
        <v>4.6850906999999997E-2</v>
      </c>
      <c r="I121" s="13">
        <v>5.3918216999999997E-2</v>
      </c>
      <c r="J121" s="13">
        <v>5.8242626999999998E-2</v>
      </c>
      <c r="K121" s="13">
        <v>6.1013510999999999E-2</v>
      </c>
      <c r="L121" s="13">
        <v>6.2906981000000001E-2</v>
      </c>
      <c r="M121" s="13">
        <v>-3.3449926999999997E-2</v>
      </c>
      <c r="N121" s="13">
        <v>-2.3959319E-2</v>
      </c>
      <c r="O121" s="13">
        <v>-1.2686993000000001E-2</v>
      </c>
      <c r="P121" s="13">
        <v>-1.175176E-3</v>
      </c>
      <c r="Q121" s="13">
        <v>6.7636299999999996E-3</v>
      </c>
      <c r="R121" s="13">
        <v>1.2758706E-2</v>
      </c>
      <c r="S121" s="13">
        <v>1.7119499999999999E-2</v>
      </c>
      <c r="T121" s="13">
        <v>0.114919128</v>
      </c>
      <c r="U121" s="13">
        <v>0.109795884</v>
      </c>
      <c r="V121" s="13">
        <v>0.110228715</v>
      </c>
      <c r="W121" s="13">
        <v>0.11158217099999999</v>
      </c>
      <c r="X121" s="13">
        <v>0.112119863</v>
      </c>
      <c r="Y121" s="13">
        <v>0.111824256</v>
      </c>
      <c r="Z121" s="13">
        <v>0.110617558</v>
      </c>
      <c r="AA121" s="13">
        <v>-2.5577450000000002E-3</v>
      </c>
      <c r="AB121" s="13">
        <v>1.1325129999999999E-3</v>
      </c>
      <c r="AC121" s="13">
        <v>3.7680460000000002E-3</v>
      </c>
      <c r="AD121" s="13">
        <v>9.2343249999999998E-3</v>
      </c>
      <c r="AE121" s="13">
        <v>1.6909192E-2</v>
      </c>
      <c r="AF121" s="13">
        <v>2.0469673000000001E-2</v>
      </c>
      <c r="AG121" s="13">
        <v>2.3811309999999999E-2</v>
      </c>
      <c r="AH121" s="13">
        <v>8.1366269000000005E-2</v>
      </c>
      <c r="AI121" s="13">
        <v>8.2815431999999994E-2</v>
      </c>
      <c r="AJ121" s="13">
        <v>9.1782932999999997E-2</v>
      </c>
      <c r="AK121" s="13">
        <v>0.10058048999999999</v>
      </c>
      <c r="AL121" s="13">
        <v>0.10125617200000001</v>
      </c>
      <c r="AM121" s="13">
        <v>0.10316818699999999</v>
      </c>
      <c r="AN121" s="13">
        <v>0.10349557600000001</v>
      </c>
      <c r="AO121" s="13">
        <v>0.19328046500000001</v>
      </c>
      <c r="AP121" s="14">
        <v>-0.298754933</v>
      </c>
      <c r="AQ121" s="14">
        <v>0.93637973699999999</v>
      </c>
    </row>
    <row r="122" spans="1:43" hidden="1" x14ac:dyDescent="0.25">
      <c r="A122" s="15" t="s">
        <v>78</v>
      </c>
      <c r="B122" s="16" t="e">
        <f>VLOOKUP(Sheet1!D122,Sheet2!A119,1,FALSE)</f>
        <v>#N/A</v>
      </c>
      <c r="C122" s="15" t="s">
        <v>15</v>
      </c>
      <c r="D122" s="15" t="s">
        <v>80</v>
      </c>
      <c r="E122" s="16" t="s">
        <v>87</v>
      </c>
      <c r="F122" s="13">
        <v>3.8701837000000003E-2</v>
      </c>
      <c r="G122" s="13">
        <v>4.1086308000000002E-2</v>
      </c>
      <c r="H122" s="13">
        <v>4.6201668000000001E-2</v>
      </c>
      <c r="I122" s="13">
        <v>5.2463940000000001E-2</v>
      </c>
      <c r="J122" s="13">
        <v>5.6236610999999999E-2</v>
      </c>
      <c r="K122" s="13">
        <v>5.8632660000000003E-2</v>
      </c>
      <c r="L122" s="13">
        <v>6.0262738000000003E-2</v>
      </c>
      <c r="M122" s="13">
        <v>-1.1668372999999999E-2</v>
      </c>
      <c r="N122" s="13">
        <v>-2.7670699999999999E-3</v>
      </c>
      <c r="O122" s="13">
        <v>7.8642499999999997E-3</v>
      </c>
      <c r="P122" s="13">
        <v>1.9018387000000001E-2</v>
      </c>
      <c r="Q122" s="13">
        <v>2.5527316000000001E-2</v>
      </c>
      <c r="R122" s="13">
        <v>3.0303514E-2</v>
      </c>
      <c r="S122" s="13">
        <v>3.3706672999999999E-2</v>
      </c>
      <c r="T122" s="13">
        <v>9.0811969000000006E-2</v>
      </c>
      <c r="U122" s="13">
        <v>8.6635400000000001E-2</v>
      </c>
      <c r="V122" s="13">
        <v>8.5971713000000005E-2</v>
      </c>
      <c r="W122" s="13">
        <v>8.7084788999999996E-2</v>
      </c>
      <c r="X122" s="13">
        <v>8.7808170000000005E-2</v>
      </c>
      <c r="Y122" s="13">
        <v>8.7501335999999999E-2</v>
      </c>
      <c r="Z122" s="13">
        <v>8.6919843999999996E-2</v>
      </c>
      <c r="AA122" s="13">
        <v>1.9758694E-2</v>
      </c>
      <c r="AB122" s="13">
        <v>2.0778643999999999E-2</v>
      </c>
      <c r="AC122" s="13">
        <v>2.4557430000000002E-2</v>
      </c>
      <c r="AD122" s="13">
        <v>3.0955015999999998E-2</v>
      </c>
      <c r="AE122" s="13">
        <v>3.6871818000000001E-2</v>
      </c>
      <c r="AF122" s="13">
        <v>4.0336983E-2</v>
      </c>
      <c r="AG122" s="13">
        <v>4.2389584000000001E-2</v>
      </c>
      <c r="AH122" s="13">
        <v>5.7996869999999999E-2</v>
      </c>
      <c r="AI122" s="13">
        <v>6.1797979000000003E-2</v>
      </c>
      <c r="AJ122" s="13">
        <v>6.8303150000000007E-2</v>
      </c>
      <c r="AK122" s="13">
        <v>7.4421606000000001E-2</v>
      </c>
      <c r="AL122" s="13">
        <v>7.5963064999999996E-2</v>
      </c>
      <c r="AM122" s="13">
        <v>7.7250103000000001E-2</v>
      </c>
      <c r="AN122" s="13">
        <v>7.8442353000000006E-2</v>
      </c>
      <c r="AO122" s="13">
        <v>0.14920302699999999</v>
      </c>
      <c r="AP122" s="14">
        <v>-0.28135868600000002</v>
      </c>
      <c r="AQ122" s="14">
        <v>1</v>
      </c>
    </row>
    <row r="123" spans="1:43" hidden="1" x14ac:dyDescent="0.25">
      <c r="A123" s="15" t="s">
        <v>78</v>
      </c>
      <c r="B123" s="16" t="e">
        <f>VLOOKUP(Sheet1!D123,Sheet2!A120,1,FALSE)</f>
        <v>#N/A</v>
      </c>
      <c r="C123" s="15" t="s">
        <v>15</v>
      </c>
      <c r="D123" s="15" t="s">
        <v>171</v>
      </c>
      <c r="E123" s="16" t="s">
        <v>164</v>
      </c>
      <c r="F123" s="13">
        <v>5.6000108E-2</v>
      </c>
      <c r="G123" s="13">
        <v>5.6523805000000003E-2</v>
      </c>
      <c r="H123" s="13">
        <v>5.7132514000000002E-2</v>
      </c>
      <c r="I123" s="13">
        <v>5.6964457000000003E-2</v>
      </c>
      <c r="J123" s="13">
        <v>5.6347573999999997E-2</v>
      </c>
      <c r="K123" s="13">
        <v>5.5770592000000001E-2</v>
      </c>
      <c r="L123" s="13">
        <v>5.5316338999999999E-2</v>
      </c>
      <c r="M123" s="13">
        <v>-7.8468666000000006E-2</v>
      </c>
      <c r="N123" s="13">
        <v>-7.5303374000000006E-2</v>
      </c>
      <c r="O123" s="13">
        <v>-8.416034E-2</v>
      </c>
      <c r="P123" s="13">
        <v>-9.23702E-2</v>
      </c>
      <c r="Q123" s="13">
        <v>-9.0336009999999994E-2</v>
      </c>
      <c r="R123" s="13">
        <v>-8.8134420000000005E-2</v>
      </c>
      <c r="S123" s="13">
        <v>-8.3989630999999995E-2</v>
      </c>
      <c r="T123" s="13">
        <v>0.21113352099999999</v>
      </c>
      <c r="U123" s="13">
        <v>0.20685453300000001</v>
      </c>
      <c r="V123" s="13">
        <v>0.22037089800000001</v>
      </c>
      <c r="W123" s="13">
        <v>0.230487205</v>
      </c>
      <c r="X123" s="13">
        <v>0.22691565599999999</v>
      </c>
      <c r="Y123" s="13">
        <v>0.22228373700000001</v>
      </c>
      <c r="Z123" s="13">
        <v>0.21635822599999999</v>
      </c>
      <c r="AA123" s="13">
        <v>-4.2921914999999998E-2</v>
      </c>
      <c r="AB123" s="13">
        <v>-5.3866954000000002E-2</v>
      </c>
      <c r="AC123" s="13">
        <v>-7.0224449999999994E-2</v>
      </c>
      <c r="AD123" s="13">
        <v>-7.6629661000000002E-2</v>
      </c>
      <c r="AE123" s="13">
        <v>-8.3244278000000005E-2</v>
      </c>
      <c r="AF123" s="13">
        <v>-8.0736330999999995E-2</v>
      </c>
      <c r="AG123" s="13">
        <v>-7.8049121999999999E-2</v>
      </c>
      <c r="AH123" s="13">
        <v>0.165146554</v>
      </c>
      <c r="AI123" s="13">
        <v>0.179794485</v>
      </c>
      <c r="AJ123" s="13">
        <v>0.20193439199999999</v>
      </c>
      <c r="AK123" s="13">
        <v>0.20988710299999999</v>
      </c>
      <c r="AL123" s="13">
        <v>0.217194691</v>
      </c>
      <c r="AM123" s="13">
        <v>0.21254868499999999</v>
      </c>
      <c r="AN123" s="13">
        <v>0.207973877</v>
      </c>
      <c r="AO123" s="13">
        <v>0.30361101499999998</v>
      </c>
      <c r="AP123" s="14">
        <v>-6.6487228999999995E-2</v>
      </c>
      <c r="AQ123" s="14">
        <v>0.26369797499999997</v>
      </c>
    </row>
    <row r="124" spans="1:43" hidden="1" x14ac:dyDescent="0.25">
      <c r="A124" s="15" t="s">
        <v>78</v>
      </c>
      <c r="B124" s="16" t="e">
        <f>VLOOKUP(Sheet1!D124,Sheet2!A121,1,FALSE)</f>
        <v>#N/A</v>
      </c>
      <c r="C124" s="15" t="s">
        <v>15</v>
      </c>
      <c r="D124" s="15" t="s">
        <v>170</v>
      </c>
      <c r="E124" s="16" t="s">
        <v>165</v>
      </c>
      <c r="F124" s="13">
        <v>4.5472882999999999E-2</v>
      </c>
      <c r="G124" s="13">
        <v>4.9490080999999998E-2</v>
      </c>
      <c r="H124" s="13">
        <v>5.8568372E-2</v>
      </c>
      <c r="I124" s="13">
        <v>7.0517887000000001E-2</v>
      </c>
      <c r="J124" s="13">
        <v>7.8198955000000001E-2</v>
      </c>
      <c r="K124" s="13">
        <v>8.3255685999999995E-2</v>
      </c>
      <c r="L124" s="13">
        <v>8.6758206000000004E-2</v>
      </c>
      <c r="M124" s="13">
        <v>-5.6838936999999999E-2</v>
      </c>
      <c r="N124" s="13">
        <v>-4.4106332999999998E-2</v>
      </c>
      <c r="O124" s="13">
        <v>-3.1155259000000001E-2</v>
      </c>
      <c r="P124" s="13">
        <v>-1.6392007E-2</v>
      </c>
      <c r="Q124" s="13">
        <v>-5.3908380000000002E-3</v>
      </c>
      <c r="R124" s="13">
        <v>4.0209089999999996E-3</v>
      </c>
      <c r="S124" s="13">
        <v>1.1883034000000001E-2</v>
      </c>
      <c r="T124" s="13">
        <v>0.15788602900000001</v>
      </c>
      <c r="U124" s="13">
        <v>0.152607093</v>
      </c>
      <c r="V124" s="13">
        <v>0.15655670299999999</v>
      </c>
      <c r="W124" s="13">
        <v>0.165067038</v>
      </c>
      <c r="X124" s="13">
        <v>0.16945246</v>
      </c>
      <c r="Y124" s="13">
        <v>0.169023862</v>
      </c>
      <c r="Z124" s="13">
        <v>0.16716710400000001</v>
      </c>
      <c r="AA124" s="13">
        <v>-2.1029326000000001E-2</v>
      </c>
      <c r="AB124" s="13">
        <v>-1.8284568000000001E-2</v>
      </c>
      <c r="AC124" s="13">
        <v>-1.4665225E-2</v>
      </c>
      <c r="AD124" s="13">
        <v>-5.813698E-3</v>
      </c>
      <c r="AE124" s="13">
        <v>3.1292410000000001E-3</v>
      </c>
      <c r="AF124" s="13">
        <v>1.058079E-2</v>
      </c>
      <c r="AG124" s="13">
        <v>1.6732892999999999E-2</v>
      </c>
      <c r="AH124" s="13">
        <v>0.116492639</v>
      </c>
      <c r="AI124" s="13">
        <v>0.12194369100000001</v>
      </c>
      <c r="AJ124" s="13">
        <v>0.137244952</v>
      </c>
      <c r="AK124" s="13">
        <v>0.15271005800000001</v>
      </c>
      <c r="AL124" s="13">
        <v>0.15888655800000001</v>
      </c>
      <c r="AM124" s="13">
        <v>0.16115692700000001</v>
      </c>
      <c r="AN124" s="13">
        <v>0.16160640500000001</v>
      </c>
      <c r="AO124" s="13">
        <v>0.26106602499999998</v>
      </c>
      <c r="AP124" s="14">
        <v>-0.110971952</v>
      </c>
      <c r="AQ124" s="14">
        <v>0.43599306999999998</v>
      </c>
    </row>
    <row r="125" spans="1:43" hidden="1" x14ac:dyDescent="0.25">
      <c r="A125" s="15" t="s">
        <v>78</v>
      </c>
      <c r="B125" s="16" t="e">
        <f>VLOOKUP(Sheet1!D125,Sheet2!A122,1,FALSE)</f>
        <v>#N/A</v>
      </c>
      <c r="C125" s="15" t="s">
        <v>20</v>
      </c>
      <c r="D125" s="15" t="s">
        <v>81</v>
      </c>
      <c r="E125" s="16" t="s">
        <v>88</v>
      </c>
      <c r="F125" s="13">
        <v>-3.7872033999999999E-2</v>
      </c>
      <c r="G125" s="13">
        <v>-3.2805142000000002E-2</v>
      </c>
      <c r="H125" s="13">
        <v>-2.1104985999999999E-2</v>
      </c>
      <c r="I125" s="13">
        <v>-5.259718E-3</v>
      </c>
      <c r="J125" s="13">
        <v>5.1717029999999997E-3</v>
      </c>
      <c r="K125" s="13">
        <v>1.212833E-2</v>
      </c>
      <c r="L125" s="13">
        <v>1.6978897E-2</v>
      </c>
      <c r="M125" s="13">
        <v>-8.3850641000000004E-2</v>
      </c>
      <c r="N125" s="13">
        <v>-7.7816360000000001E-2</v>
      </c>
      <c r="O125" s="13">
        <v>-7.0160552000000001E-2</v>
      </c>
      <c r="P125" s="13">
        <v>-5.8178253999999999E-2</v>
      </c>
      <c r="Q125" s="13">
        <v>-4.7888511000000002E-2</v>
      </c>
      <c r="R125" s="13">
        <v>-3.9555760000000002E-2</v>
      </c>
      <c r="S125" s="13">
        <v>-3.2717986999999997E-2</v>
      </c>
      <c r="T125" s="13">
        <v>1.118161E-2</v>
      </c>
      <c r="U125" s="13">
        <v>1.4270891000000001E-2</v>
      </c>
      <c r="V125" s="13">
        <v>3.0176793E-2</v>
      </c>
      <c r="W125" s="13">
        <v>5.0517038E-2</v>
      </c>
      <c r="X125" s="13">
        <v>6.1084165000000003E-2</v>
      </c>
      <c r="Y125" s="13">
        <v>6.6412448999999998E-2</v>
      </c>
      <c r="Z125" s="13">
        <v>6.9047921999999998E-2</v>
      </c>
      <c r="AA125" s="13">
        <v>-6.6605400999999995E-2</v>
      </c>
      <c r="AB125" s="13">
        <v>-6.5284590000000003E-2</v>
      </c>
      <c r="AC125" s="13">
        <v>-6.3279151000000006E-2</v>
      </c>
      <c r="AD125" s="13">
        <v>-5.3178804000000003E-2</v>
      </c>
      <c r="AE125" s="13">
        <v>-4.6126700999999999E-2</v>
      </c>
      <c r="AF125" s="13">
        <v>-3.6371435000000001E-2</v>
      </c>
      <c r="AG125" s="13">
        <v>-3.3253911999999997E-2</v>
      </c>
      <c r="AH125" s="13">
        <v>-8.2541409999999996E-3</v>
      </c>
      <c r="AI125" s="13">
        <v>8.0292299999999998E-4</v>
      </c>
      <c r="AJ125" s="13">
        <v>2.2968002000000001E-2</v>
      </c>
      <c r="AK125" s="13">
        <v>4.5084576000000001E-2</v>
      </c>
      <c r="AL125" s="13">
        <v>5.9228889999999999E-2</v>
      </c>
      <c r="AM125" s="13">
        <v>6.3069107999999999E-2</v>
      </c>
      <c r="AN125" s="13">
        <v>6.9821859E-2</v>
      </c>
      <c r="AO125" s="13">
        <v>0.128012499</v>
      </c>
      <c r="AP125" s="14">
        <v>0.71436029599999995</v>
      </c>
      <c r="AQ125" s="14">
        <v>-0.14456306999999999</v>
      </c>
    </row>
    <row r="126" spans="1:43" hidden="1" x14ac:dyDescent="0.25">
      <c r="A126" s="15" t="s">
        <v>78</v>
      </c>
      <c r="B126" s="16" t="e">
        <f>VLOOKUP(Sheet1!D126,Sheet2!A123,1,FALSE)</f>
        <v>#N/A</v>
      </c>
      <c r="C126" s="15" t="s">
        <v>20</v>
      </c>
      <c r="D126" s="15" t="s">
        <v>22</v>
      </c>
      <c r="E126" s="16" t="s">
        <v>41</v>
      </c>
      <c r="F126" s="13">
        <v>2.4797657000000001E-2</v>
      </c>
      <c r="G126" s="13">
        <v>2.5759029999999999E-2</v>
      </c>
      <c r="H126" s="13">
        <v>2.7442102999999999E-2</v>
      </c>
      <c r="I126" s="13">
        <v>2.8827411000000001E-2</v>
      </c>
      <c r="J126" s="13">
        <v>2.9279667999999998E-2</v>
      </c>
      <c r="K126" s="13">
        <v>2.9429012000000001E-2</v>
      </c>
      <c r="L126" s="13">
        <v>2.9484344999999999E-2</v>
      </c>
      <c r="M126" s="13">
        <v>-1.2018203999999999E-2</v>
      </c>
      <c r="N126" s="13">
        <v>-7.2683729999999998E-3</v>
      </c>
      <c r="O126" s="13">
        <v>-2.6407940000000001E-3</v>
      </c>
      <c r="P126" s="13">
        <v>1.4679680000000001E-3</v>
      </c>
      <c r="Q126" s="13">
        <v>3.7931060000000001E-3</v>
      </c>
      <c r="R126" s="13">
        <v>5.9671899999999998E-3</v>
      </c>
      <c r="S126" s="13">
        <v>7.4707539999999996E-3</v>
      </c>
      <c r="T126" s="13">
        <v>6.2646149999999998E-2</v>
      </c>
      <c r="U126" s="13">
        <v>6.0449506E-2</v>
      </c>
      <c r="V126" s="13">
        <v>5.8796897000000001E-2</v>
      </c>
      <c r="W126" s="13">
        <v>5.7214721000000003E-2</v>
      </c>
      <c r="X126" s="13">
        <v>5.4974176999999999E-2</v>
      </c>
      <c r="Y126" s="13">
        <v>5.3507921E-2</v>
      </c>
      <c r="Z126" s="13">
        <v>5.1910379999999999E-2</v>
      </c>
      <c r="AA126" s="13">
        <v>1.4778059999999999E-3</v>
      </c>
      <c r="AB126" s="13">
        <v>4.1871970000000001E-3</v>
      </c>
      <c r="AC126" s="13">
        <v>5.9640099999999996E-3</v>
      </c>
      <c r="AD126" s="13">
        <v>6.9211180000000004E-3</v>
      </c>
      <c r="AE126" s="13">
        <v>8.9359720000000004E-3</v>
      </c>
      <c r="AF126" s="13">
        <v>1.0186944999999999E-2</v>
      </c>
      <c r="AG126" s="13">
        <v>1.1164854E-2</v>
      </c>
      <c r="AH126" s="13">
        <v>4.8660523999999997E-2</v>
      </c>
      <c r="AI126" s="13">
        <v>4.7794267000000001E-2</v>
      </c>
      <c r="AJ126" s="13">
        <v>4.9378769000000003E-2</v>
      </c>
      <c r="AK126" s="13">
        <v>5.1210292999999997E-2</v>
      </c>
      <c r="AL126" s="13">
        <v>5.0033565000000002E-2</v>
      </c>
      <c r="AM126" s="13">
        <v>4.9037603999999999E-2</v>
      </c>
      <c r="AN126" s="13">
        <v>4.8135747999999999E-2</v>
      </c>
      <c r="AO126" s="13">
        <v>9.4239349E-2</v>
      </c>
      <c r="AP126" s="14">
        <v>0.21782557899999999</v>
      </c>
      <c r="AQ126" s="14">
        <v>0.21006206499999999</v>
      </c>
    </row>
    <row r="127" spans="1:43" hidden="1" x14ac:dyDescent="0.25">
      <c r="A127" s="15" t="s">
        <v>78</v>
      </c>
      <c r="B127" s="16" t="e">
        <f>VLOOKUP(Sheet1!D127,Sheet2!A124,1,FALSE)</f>
        <v>#N/A</v>
      </c>
      <c r="C127" s="15" t="s">
        <v>20</v>
      </c>
      <c r="D127" s="15" t="s">
        <v>82</v>
      </c>
      <c r="E127" s="16" t="s">
        <v>89</v>
      </c>
      <c r="F127" s="13">
        <v>-1.8428257999999999E-2</v>
      </c>
      <c r="G127" s="13">
        <v>-1.4762591E-2</v>
      </c>
      <c r="H127" s="13">
        <v>-6.4973590000000003E-3</v>
      </c>
      <c r="I127" s="13">
        <v>4.349271E-3</v>
      </c>
      <c r="J127" s="13">
        <v>1.13036E-2</v>
      </c>
      <c r="K127" s="13">
        <v>1.5875572000000001E-2</v>
      </c>
      <c r="L127" s="13">
        <v>1.9040122999999999E-2</v>
      </c>
      <c r="M127" s="13">
        <v>-4.5167649999999997E-2</v>
      </c>
      <c r="N127" s="13">
        <v>-4.0318977999999998E-2</v>
      </c>
      <c r="O127" s="13">
        <v>-3.3663442000000002E-2</v>
      </c>
      <c r="P127" s="13">
        <v>-2.4778175E-2</v>
      </c>
      <c r="Q127" s="13">
        <v>-1.7738495E-2</v>
      </c>
      <c r="R127" s="13">
        <v>-1.2368644E-2</v>
      </c>
      <c r="S127" s="13">
        <v>-8.1022449999999992E-3</v>
      </c>
      <c r="T127" s="13">
        <v>8.9763610000000004E-3</v>
      </c>
      <c r="U127" s="13">
        <v>1.0971837E-2</v>
      </c>
      <c r="V127" s="13">
        <v>2.146375E-2</v>
      </c>
      <c r="W127" s="13">
        <v>3.4603508999999998E-2</v>
      </c>
      <c r="X127" s="13">
        <v>4.1257659000000002E-2</v>
      </c>
      <c r="Y127" s="13">
        <v>4.5125734000000001E-2</v>
      </c>
      <c r="Z127" s="13">
        <v>4.6806735000000002E-2</v>
      </c>
      <c r="AA127" s="13">
        <v>-3.3247245000000002E-2</v>
      </c>
      <c r="AB127" s="13">
        <v>-3.1547807999999997E-2</v>
      </c>
      <c r="AC127" s="13">
        <v>-2.8587259E-2</v>
      </c>
      <c r="AD127" s="13">
        <v>-2.1346658000000001E-2</v>
      </c>
      <c r="AE127" s="13">
        <v>-1.5820048E-2</v>
      </c>
      <c r="AF127" s="13">
        <v>-1.0861569E-2</v>
      </c>
      <c r="AG127" s="13">
        <v>-7.5884100000000003E-3</v>
      </c>
      <c r="AH127" s="13">
        <v>-3.382117E-3</v>
      </c>
      <c r="AI127" s="13">
        <v>2.3135479999999999E-3</v>
      </c>
      <c r="AJ127" s="13">
        <v>1.6094865E-2</v>
      </c>
      <c r="AK127" s="13">
        <v>3.0719883E-2</v>
      </c>
      <c r="AL127" s="13">
        <v>3.9174768999999998E-2</v>
      </c>
      <c r="AM127" s="13">
        <v>4.3335446999999999E-2</v>
      </c>
      <c r="AN127" s="13">
        <v>4.6383157000000001E-2</v>
      </c>
      <c r="AO127" s="13">
        <v>7.5149753999999999E-2</v>
      </c>
      <c r="AP127" s="14">
        <v>0.76616088299999996</v>
      </c>
      <c r="AQ127" s="14">
        <v>-0.188650757</v>
      </c>
    </row>
    <row r="128" spans="1:43" hidden="1" x14ac:dyDescent="0.25">
      <c r="A128" s="15" t="s">
        <v>78</v>
      </c>
      <c r="B128" s="16" t="e">
        <f>VLOOKUP(Sheet1!D128,Sheet2!A125,1,FALSE)</f>
        <v>#N/A</v>
      </c>
      <c r="C128" s="15" t="s">
        <v>20</v>
      </c>
      <c r="D128" s="15" t="s">
        <v>83</v>
      </c>
      <c r="E128" s="16" t="s">
        <v>90</v>
      </c>
      <c r="F128" s="13">
        <v>-2.2412655E-2</v>
      </c>
      <c r="G128" s="13">
        <v>-1.7155289000000001E-2</v>
      </c>
      <c r="H128" s="13">
        <v>-5.000109E-3</v>
      </c>
      <c r="I128" s="13">
        <v>1.1488429E-2</v>
      </c>
      <c r="J128" s="13">
        <v>2.2358179999999998E-2</v>
      </c>
      <c r="K128" s="13">
        <v>2.9612524000000001E-2</v>
      </c>
      <c r="L128" s="13">
        <v>3.4672664999999998E-2</v>
      </c>
      <c r="M128" s="13">
        <v>-6.0674104E-2</v>
      </c>
      <c r="N128" s="13">
        <v>-5.4240798E-2</v>
      </c>
      <c r="O128" s="13">
        <v>-4.5809312999999997E-2</v>
      </c>
      <c r="P128" s="13">
        <v>-3.3993433000000003E-2</v>
      </c>
      <c r="Q128" s="13">
        <v>-2.4357495E-2</v>
      </c>
      <c r="R128" s="13">
        <v>-1.6886485E-2</v>
      </c>
      <c r="S128" s="13">
        <v>-1.0544357000000001E-2</v>
      </c>
      <c r="T128" s="13">
        <v>1.7565081999999999E-2</v>
      </c>
      <c r="U128" s="13">
        <v>2.1564369999999999E-2</v>
      </c>
      <c r="V128" s="13">
        <v>3.7614294999999999E-2</v>
      </c>
      <c r="W128" s="13">
        <v>5.8415553000000002E-2</v>
      </c>
      <c r="X128" s="13">
        <v>7.1054829E-2</v>
      </c>
      <c r="Y128" s="13">
        <v>7.7830916999999999E-2</v>
      </c>
      <c r="Z128" s="13">
        <v>8.1503320000000004E-2</v>
      </c>
      <c r="AA128" s="13">
        <v>-4.3734917999999998E-2</v>
      </c>
      <c r="AB128" s="13">
        <v>-4.2479322E-2</v>
      </c>
      <c r="AC128" s="13">
        <v>-3.9954151E-2</v>
      </c>
      <c r="AD128" s="13">
        <v>-3.0396787000000001E-2</v>
      </c>
      <c r="AE128" s="13">
        <v>-2.2960576E-2</v>
      </c>
      <c r="AF128" s="13">
        <v>-1.5592757E-2</v>
      </c>
      <c r="AG128" s="13">
        <v>-8.8505819999999992E-3</v>
      </c>
      <c r="AH128" s="13">
        <v>-6.1496100000000002E-4</v>
      </c>
      <c r="AI128" s="13">
        <v>8.8385019999999998E-3</v>
      </c>
      <c r="AJ128" s="13">
        <v>3.1226568E-2</v>
      </c>
      <c r="AK128" s="13">
        <v>5.5183027000000003E-2</v>
      </c>
      <c r="AL128" s="13">
        <v>6.9778992999999997E-2</v>
      </c>
      <c r="AM128" s="13">
        <v>7.6893692E-2</v>
      </c>
      <c r="AN128" s="13">
        <v>8.0107100000000001E-2</v>
      </c>
      <c r="AO128" s="13">
        <v>0.111327171</v>
      </c>
      <c r="AP128" s="14">
        <v>0.47126604300000002</v>
      </c>
      <c r="AQ128" s="14">
        <v>0.23764112200000001</v>
      </c>
    </row>
    <row r="129" spans="1:43" hidden="1" x14ac:dyDescent="0.25">
      <c r="A129" s="15" t="s">
        <v>78</v>
      </c>
      <c r="B129" s="16" t="e">
        <f>VLOOKUP(Sheet1!D129,Sheet2!A126,1,FALSE)</f>
        <v>#N/A</v>
      </c>
      <c r="C129" s="15" t="s">
        <v>20</v>
      </c>
      <c r="D129" s="15" t="s">
        <v>161</v>
      </c>
      <c r="E129" s="16" t="s">
        <v>163</v>
      </c>
      <c r="F129" s="13">
        <v>-7.0972079999999998E-3</v>
      </c>
      <c r="G129" s="13">
        <v>-4.3260679999999998E-3</v>
      </c>
      <c r="H129" s="13">
        <v>1.756652E-3</v>
      </c>
      <c r="I129" s="13">
        <v>9.4517079999999996E-3</v>
      </c>
      <c r="J129" s="13">
        <v>1.4229989E-2</v>
      </c>
      <c r="K129" s="13">
        <v>1.7316947999999999E-2</v>
      </c>
      <c r="L129" s="13">
        <v>1.9435065000000001E-2</v>
      </c>
      <c r="M129" s="13">
        <v>-5.0408939999999999E-2</v>
      </c>
      <c r="N129" s="13">
        <v>-4.6861084999999997E-2</v>
      </c>
      <c r="O129" s="13">
        <v>-4.4470849999999999E-2</v>
      </c>
      <c r="P129" s="13">
        <v>-4.1502260999999999E-2</v>
      </c>
      <c r="Q129" s="13">
        <v>-3.6606536000000002E-2</v>
      </c>
      <c r="R129" s="13">
        <v>-3.1974131000000003E-2</v>
      </c>
      <c r="S129" s="13">
        <v>-2.7949571999999999E-2</v>
      </c>
      <c r="T129" s="13">
        <v>3.8922062E-2</v>
      </c>
      <c r="U129" s="13">
        <v>4.0403900999999999E-2</v>
      </c>
      <c r="V129" s="13">
        <v>5.0085136000000002E-2</v>
      </c>
      <c r="W129" s="13">
        <v>6.2766717E-2</v>
      </c>
      <c r="X129" s="13">
        <v>6.7576811000000001E-2</v>
      </c>
      <c r="Y129" s="13">
        <v>6.9729243999999996E-2</v>
      </c>
      <c r="Z129" s="13">
        <v>6.9415209000000005E-2</v>
      </c>
      <c r="AA129" s="13">
        <v>-3.7312320000000003E-2</v>
      </c>
      <c r="AB129" s="13">
        <v>-3.6636831000000002E-2</v>
      </c>
      <c r="AC129" s="13">
        <v>-3.7833876000000002E-2</v>
      </c>
      <c r="AD129" s="13">
        <v>-3.8154291999999999E-2</v>
      </c>
      <c r="AE129" s="13">
        <v>-3.3913552E-2</v>
      </c>
      <c r="AF129" s="13">
        <v>-3.0797080000000001E-2</v>
      </c>
      <c r="AG129" s="13">
        <v>-2.6579999E-2</v>
      </c>
      <c r="AH129" s="13">
        <v>2.4066242000000002E-2</v>
      </c>
      <c r="AI129" s="13">
        <v>2.9068383E-2</v>
      </c>
      <c r="AJ129" s="13">
        <v>4.2976222000000001E-2</v>
      </c>
      <c r="AK129" s="13">
        <v>5.9413941999999997E-2</v>
      </c>
      <c r="AL129" s="13">
        <v>6.4772707999999998E-2</v>
      </c>
      <c r="AM129" s="13">
        <v>6.7819497000000006E-2</v>
      </c>
      <c r="AN129" s="13">
        <v>6.7625331999999996E-2</v>
      </c>
      <c r="AO129" s="13">
        <v>0.111982489</v>
      </c>
      <c r="AP129" s="14">
        <v>0.49250215000000003</v>
      </c>
      <c r="AQ129" s="14">
        <v>6.4310339999999994E-2</v>
      </c>
    </row>
    <row r="130" spans="1:43" hidden="1" x14ac:dyDescent="0.25">
      <c r="A130" s="15" t="s">
        <v>78</v>
      </c>
      <c r="B130" s="16" t="e">
        <f>VLOOKUP(Sheet1!D130,Sheet2!A127,1,FALSE)</f>
        <v>#N/A</v>
      </c>
      <c r="C130" s="15" t="s">
        <v>20</v>
      </c>
      <c r="D130" s="15" t="s">
        <v>21</v>
      </c>
      <c r="E130" s="16" t="s">
        <v>39</v>
      </c>
      <c r="F130" s="13">
        <v>2.2901739000000001E-2</v>
      </c>
      <c r="G130" s="13">
        <v>2.5266291999999999E-2</v>
      </c>
      <c r="H130" s="13">
        <v>3.0343473999999999E-2</v>
      </c>
      <c r="I130" s="13">
        <v>3.6567187000000001E-2</v>
      </c>
      <c r="J130" s="13">
        <v>4.0321302000000003E-2</v>
      </c>
      <c r="K130" s="13">
        <v>4.2707272999999997E-2</v>
      </c>
      <c r="L130" s="13">
        <v>4.4331078000000003E-2</v>
      </c>
      <c r="M130" s="13">
        <v>-1.9992822E-2</v>
      </c>
      <c r="N130" s="13">
        <v>-1.5032871E-2</v>
      </c>
      <c r="O130" s="13">
        <v>-9.3773260000000001E-3</v>
      </c>
      <c r="P130" s="13">
        <v>-3.3E-3</v>
      </c>
      <c r="Q130" s="13">
        <v>1.6112450000000001E-3</v>
      </c>
      <c r="R130" s="13">
        <v>5.653768E-3</v>
      </c>
      <c r="S130" s="13">
        <v>9.0836430000000006E-3</v>
      </c>
      <c r="T130" s="13">
        <v>6.8314998000000002E-2</v>
      </c>
      <c r="U130" s="13">
        <v>6.6801170000000007E-2</v>
      </c>
      <c r="V130" s="13">
        <v>7.1671530999999997E-2</v>
      </c>
      <c r="W130" s="13">
        <v>7.7883753E-2</v>
      </c>
      <c r="X130" s="13">
        <v>8.0536568000000003E-2</v>
      </c>
      <c r="Y130" s="13">
        <v>8.1230479999999994E-2</v>
      </c>
      <c r="Z130" s="13">
        <v>8.0456328999999993E-2</v>
      </c>
      <c r="AA130" s="13">
        <v>-7.2516899999999999E-3</v>
      </c>
      <c r="AB130" s="13">
        <v>-5.3231440000000001E-3</v>
      </c>
      <c r="AC130" s="13">
        <v>-4.0666670000000004E-3</v>
      </c>
      <c r="AD130" s="13">
        <v>6.5400000000000004E-5</v>
      </c>
      <c r="AE130" s="13">
        <v>4.0689480000000002E-3</v>
      </c>
      <c r="AF130" s="13">
        <v>7.6996649999999996E-3</v>
      </c>
      <c r="AG130" s="13">
        <v>1.1802309E-2</v>
      </c>
      <c r="AH130" s="13">
        <v>5.3971038999999998E-2</v>
      </c>
      <c r="AI130" s="13">
        <v>5.6796451999999997E-2</v>
      </c>
      <c r="AJ130" s="13">
        <v>6.5942513999999994E-2</v>
      </c>
      <c r="AK130" s="13">
        <v>7.4401257999999998E-2</v>
      </c>
      <c r="AL130" s="13">
        <v>7.7882569999999998E-2</v>
      </c>
      <c r="AM130" s="13">
        <v>7.8931048000000004E-2</v>
      </c>
      <c r="AN130" s="13">
        <v>7.7905628000000005E-2</v>
      </c>
      <c r="AO130" s="13">
        <v>0.103278991</v>
      </c>
      <c r="AP130" s="14">
        <v>0.34139153900000002</v>
      </c>
      <c r="AQ130" s="14">
        <v>0.43183897900000001</v>
      </c>
    </row>
    <row r="131" spans="1:43" hidden="1" x14ac:dyDescent="0.25">
      <c r="A131" s="15" t="s">
        <v>78</v>
      </c>
      <c r="B131" s="16" t="e">
        <f>VLOOKUP(Sheet1!D131,Sheet2!A128,1,FALSE)</f>
        <v>#N/A</v>
      </c>
      <c r="C131" s="15" t="s">
        <v>20</v>
      </c>
      <c r="D131" s="15" t="s">
        <v>60</v>
      </c>
      <c r="E131" s="16" t="s">
        <v>74</v>
      </c>
      <c r="F131" s="13">
        <v>3.4260839000000001E-2</v>
      </c>
      <c r="G131" s="13">
        <v>3.5685507999999998E-2</v>
      </c>
      <c r="H131" s="13">
        <v>3.8481174999999999E-2</v>
      </c>
      <c r="I131" s="13">
        <v>4.1438322E-2</v>
      </c>
      <c r="J131" s="13">
        <v>4.2955563000000002E-2</v>
      </c>
      <c r="K131" s="13">
        <v>4.3823467999999997E-2</v>
      </c>
      <c r="L131" s="13">
        <v>4.4381595000000003E-2</v>
      </c>
      <c r="M131" s="13">
        <v>4.6927230000000002E-3</v>
      </c>
      <c r="N131" s="13">
        <v>9.0230769999999991E-3</v>
      </c>
      <c r="O131" s="13">
        <v>1.3390354E-2</v>
      </c>
      <c r="P131" s="13">
        <v>1.7576929000000002E-2</v>
      </c>
      <c r="Q131" s="13">
        <v>2.0631144000000001E-2</v>
      </c>
      <c r="R131" s="13">
        <v>2.2949744000000001E-2</v>
      </c>
      <c r="S131" s="13">
        <v>2.4448693000000001E-2</v>
      </c>
      <c r="T131" s="13">
        <v>6.4518796000000003E-2</v>
      </c>
      <c r="U131" s="13">
        <v>6.3144552000000007E-2</v>
      </c>
      <c r="V131" s="13">
        <v>6.4243692000000005E-2</v>
      </c>
      <c r="W131" s="13">
        <v>6.5458943000000006E-2</v>
      </c>
      <c r="X131" s="13">
        <v>6.5608324999999995E-2</v>
      </c>
      <c r="Y131" s="13">
        <v>6.5296591000000001E-2</v>
      </c>
      <c r="Z131" s="13">
        <v>6.4930272999999997E-2</v>
      </c>
      <c r="AA131" s="13">
        <v>1.7315529E-2</v>
      </c>
      <c r="AB131" s="13">
        <v>1.8036758999999999E-2</v>
      </c>
      <c r="AC131" s="13">
        <v>1.9743099E-2</v>
      </c>
      <c r="AD131" s="13">
        <v>2.1857519999999998E-2</v>
      </c>
      <c r="AE131" s="13">
        <v>2.3305111E-2</v>
      </c>
      <c r="AF131" s="13">
        <v>2.4911793000000002E-2</v>
      </c>
      <c r="AG131" s="13">
        <v>2.7071409000000001E-2</v>
      </c>
      <c r="AH131" s="13">
        <v>5.1488406E-2</v>
      </c>
      <c r="AI131" s="13">
        <v>5.3640218000000003E-2</v>
      </c>
      <c r="AJ131" s="13">
        <v>5.7563569000000002E-2</v>
      </c>
      <c r="AK131" s="13">
        <v>6.1394334000000002E-2</v>
      </c>
      <c r="AL131" s="13">
        <v>6.2983361000000002E-2</v>
      </c>
      <c r="AM131" s="13">
        <v>6.3084101000000004E-2</v>
      </c>
      <c r="AN131" s="13">
        <v>6.1983526999999997E-2</v>
      </c>
      <c r="AO131" s="13">
        <v>7.8936074999999994E-2</v>
      </c>
      <c r="AP131" s="14">
        <v>-3.9727961999999999E-2</v>
      </c>
      <c r="AQ131" s="14">
        <v>0.65627588400000003</v>
      </c>
    </row>
    <row r="132" spans="1:43" hidden="1" x14ac:dyDescent="0.25">
      <c r="A132" s="15" t="s">
        <v>78</v>
      </c>
      <c r="B132" s="16" t="e">
        <f>VLOOKUP(Sheet1!D132,Sheet2!A129,1,FALSE)</f>
        <v>#N/A</v>
      </c>
      <c r="C132" s="15" t="s">
        <v>20</v>
      </c>
      <c r="D132" s="15" t="s">
        <v>61</v>
      </c>
      <c r="E132" s="16" t="s">
        <v>75</v>
      </c>
      <c r="F132" s="13">
        <v>-5.0924459999999996E-3</v>
      </c>
      <c r="G132" s="13">
        <v>-2.4181820000000001E-3</v>
      </c>
      <c r="H132" s="13">
        <v>3.428104E-3</v>
      </c>
      <c r="I132" s="13">
        <v>1.0781997999999999E-2</v>
      </c>
      <c r="J132" s="13">
        <v>1.5325033E-2</v>
      </c>
      <c r="K132" s="13">
        <v>1.8251650000000001E-2</v>
      </c>
      <c r="L132" s="13">
        <v>2.0256896E-2</v>
      </c>
      <c r="M132" s="13">
        <v>-1.6168388999999998E-2</v>
      </c>
      <c r="N132" s="13">
        <v>-1.2124296E-2</v>
      </c>
      <c r="O132" s="13">
        <v>-5.5136710000000004E-3</v>
      </c>
      <c r="P132" s="13">
        <v>2.6829810000000001E-3</v>
      </c>
      <c r="Q132" s="13">
        <v>7.7266080000000003E-3</v>
      </c>
      <c r="R132" s="13">
        <v>1.1211083E-2</v>
      </c>
      <c r="S132" s="13">
        <v>1.3541350000000001E-2</v>
      </c>
      <c r="T132" s="13">
        <v>6.168672E-3</v>
      </c>
      <c r="U132" s="13">
        <v>7.3289210000000004E-3</v>
      </c>
      <c r="V132" s="13">
        <v>1.2412944E-2</v>
      </c>
      <c r="W132" s="13">
        <v>1.9033906E-2</v>
      </c>
      <c r="X132" s="13">
        <v>2.3000395E-2</v>
      </c>
      <c r="Y132" s="13">
        <v>2.5412862000000001E-2</v>
      </c>
      <c r="Z132" s="13">
        <v>2.7004196000000001E-2</v>
      </c>
      <c r="AA132" s="13">
        <v>-8.9748829999999995E-3</v>
      </c>
      <c r="AB132" s="13">
        <v>-6.7130200000000001E-3</v>
      </c>
      <c r="AC132" s="13">
        <v>-1.7899999999999999E-3</v>
      </c>
      <c r="AD132" s="13">
        <v>5.105783E-3</v>
      </c>
      <c r="AE132" s="13">
        <v>9.7014349999999996E-3</v>
      </c>
      <c r="AF132" s="13">
        <v>1.2726500999999999E-2</v>
      </c>
      <c r="AG132" s="13">
        <v>1.4977251E-2</v>
      </c>
      <c r="AH132" s="13">
        <v>-1.1900000000000001E-3</v>
      </c>
      <c r="AI132" s="13">
        <v>1.895227E-3</v>
      </c>
      <c r="AJ132" s="13">
        <v>8.6708250000000001E-3</v>
      </c>
      <c r="AK132" s="13">
        <v>1.6490267999999999E-2</v>
      </c>
      <c r="AL132" s="13">
        <v>2.0979952E-2</v>
      </c>
      <c r="AM132" s="13">
        <v>2.3806943000000001E-2</v>
      </c>
      <c r="AN132" s="13">
        <v>2.5564004000000001E-2</v>
      </c>
      <c r="AO132" s="13">
        <v>3.4745738999999998E-2</v>
      </c>
      <c r="AP132" s="14">
        <v>0.93915253899999995</v>
      </c>
      <c r="AQ132" s="14">
        <v>-7.4158885999999993E-2</v>
      </c>
    </row>
    <row r="133" spans="1:43" hidden="1" x14ac:dyDescent="0.25">
      <c r="A133" s="15" t="s">
        <v>78</v>
      </c>
      <c r="B133" s="16" t="e">
        <f>VLOOKUP(Sheet1!D133,Sheet2!A130,1,FALSE)</f>
        <v>#N/A</v>
      </c>
      <c r="C133" s="15" t="s">
        <v>20</v>
      </c>
      <c r="D133" s="15" t="s">
        <v>84</v>
      </c>
      <c r="E133" s="16" t="s">
        <v>91</v>
      </c>
      <c r="F133" s="13">
        <v>-7.5773230000000004E-3</v>
      </c>
      <c r="G133" s="13">
        <v>-4.9932600000000002E-3</v>
      </c>
      <c r="H133" s="13">
        <v>6.3576699999999997E-4</v>
      </c>
      <c r="I133" s="13">
        <v>7.6808049999999998E-3</v>
      </c>
      <c r="J133" s="13">
        <v>1.2013164E-2</v>
      </c>
      <c r="K133" s="13">
        <v>1.4796937E-2</v>
      </c>
      <c r="L133" s="13">
        <v>1.6701879999999999E-2</v>
      </c>
      <c r="M133" s="13">
        <v>-2.0855650999999999E-2</v>
      </c>
      <c r="N133" s="13">
        <v>-1.6695755E-2</v>
      </c>
      <c r="O133" s="13">
        <v>-9.9430360000000006E-3</v>
      </c>
      <c r="P133" s="13">
        <v>-1.7955429999999999E-3</v>
      </c>
      <c r="Q133" s="13">
        <v>3.3238450000000002E-3</v>
      </c>
      <c r="R133" s="13">
        <v>6.7348709999999999E-3</v>
      </c>
      <c r="S133" s="13">
        <v>9.0582319999999994E-3</v>
      </c>
      <c r="T133" s="13">
        <v>5.9022730000000004E-3</v>
      </c>
      <c r="U133" s="13">
        <v>6.8299440000000001E-3</v>
      </c>
      <c r="V133" s="13">
        <v>1.1360194000000001E-2</v>
      </c>
      <c r="W133" s="13">
        <v>1.7325700999999999E-2</v>
      </c>
      <c r="X133" s="13">
        <v>2.0844786000000001E-2</v>
      </c>
      <c r="Y133" s="13">
        <v>2.2921410999999999E-2</v>
      </c>
      <c r="Z133" s="13">
        <v>2.4403745000000001E-2</v>
      </c>
      <c r="AA133" s="13">
        <v>-1.2755063000000001E-2</v>
      </c>
      <c r="AB133" s="13">
        <v>-1.0301561000000001E-2</v>
      </c>
      <c r="AC133" s="13">
        <v>-5.1891389999999997E-3</v>
      </c>
      <c r="AD133" s="13">
        <v>1.1947430000000001E-3</v>
      </c>
      <c r="AE133" s="13">
        <v>5.7444389999999996E-3</v>
      </c>
      <c r="AF133" s="13">
        <v>8.7383909999999999E-3</v>
      </c>
      <c r="AG133" s="13">
        <v>1.0861447999999999E-2</v>
      </c>
      <c r="AH133" s="13">
        <v>-2.3724280000000002E-3</v>
      </c>
      <c r="AI133" s="13">
        <v>3.43514E-4</v>
      </c>
      <c r="AJ133" s="13">
        <v>6.4947800000000003E-3</v>
      </c>
      <c r="AK133" s="13">
        <v>1.4208887E-2</v>
      </c>
      <c r="AL133" s="13">
        <v>1.8320961E-2</v>
      </c>
      <c r="AM133" s="13">
        <v>2.0891871999999999E-2</v>
      </c>
      <c r="AN133" s="13">
        <v>2.2576056000000001E-2</v>
      </c>
      <c r="AO133" s="13">
        <v>4.1279693999999999E-2</v>
      </c>
      <c r="AP133" s="14">
        <v>1</v>
      </c>
      <c r="AQ133" s="14">
        <v>-0.28135868600000002</v>
      </c>
    </row>
    <row r="134" spans="1:43" hidden="1" x14ac:dyDescent="0.25">
      <c r="A134" s="15" t="s">
        <v>78</v>
      </c>
      <c r="B134" s="16" t="e">
        <f>VLOOKUP(Sheet1!D134,Sheet2!A131,1,FALSE)</f>
        <v>#N/A</v>
      </c>
      <c r="C134" s="15" t="s">
        <v>20</v>
      </c>
      <c r="D134" s="15" t="s">
        <v>85</v>
      </c>
      <c r="E134" s="16" t="s">
        <v>92</v>
      </c>
      <c r="F134" s="13">
        <v>1.163987E-3</v>
      </c>
      <c r="G134" s="13">
        <v>3.064958E-3</v>
      </c>
      <c r="H134" s="13">
        <v>7.0331650000000001E-3</v>
      </c>
      <c r="I134" s="13">
        <v>1.1694141E-2</v>
      </c>
      <c r="J134" s="13">
        <v>1.4389894E-2</v>
      </c>
      <c r="K134" s="13">
        <v>1.6061148000000001E-2</v>
      </c>
      <c r="L134" s="13">
        <v>1.7184237000000002E-2</v>
      </c>
      <c r="M134" s="13">
        <v>1.080524E-3</v>
      </c>
      <c r="N134" s="13">
        <v>1.953034E-3</v>
      </c>
      <c r="O134" s="13">
        <v>4.8774889999999996E-3</v>
      </c>
      <c r="P134" s="13">
        <v>9.0412540000000003E-3</v>
      </c>
      <c r="Q134" s="13">
        <v>1.1677068000000001E-2</v>
      </c>
      <c r="R134" s="13">
        <v>1.3461021E-2</v>
      </c>
      <c r="S134" s="13">
        <v>1.4665579E-2</v>
      </c>
      <c r="T134" s="13">
        <v>1.247457E-3</v>
      </c>
      <c r="U134" s="13">
        <v>4.1781159999999999E-3</v>
      </c>
      <c r="V134" s="13">
        <v>9.1934660000000008E-3</v>
      </c>
      <c r="W134" s="13">
        <v>1.4354004E-2</v>
      </c>
      <c r="X134" s="13">
        <v>1.7109994E-2</v>
      </c>
      <c r="Y134" s="13">
        <v>1.8667944999999998E-2</v>
      </c>
      <c r="Z134" s="13">
        <v>1.9709147E-2</v>
      </c>
      <c r="AA134" s="13">
        <v>1.078489E-3</v>
      </c>
      <c r="AB134" s="13">
        <v>2.0001590000000001E-3</v>
      </c>
      <c r="AC134" s="13">
        <v>4.8646430000000001E-3</v>
      </c>
      <c r="AD134" s="13">
        <v>9.0632950000000007E-3</v>
      </c>
      <c r="AE134" s="13">
        <v>1.1687001000000001E-2</v>
      </c>
      <c r="AF134" s="13">
        <v>1.332089E-2</v>
      </c>
      <c r="AG134" s="13">
        <v>1.4504269E-2</v>
      </c>
      <c r="AH134" s="13">
        <v>1.2494920000000001E-3</v>
      </c>
      <c r="AI134" s="13">
        <v>4.1308880000000001E-3</v>
      </c>
      <c r="AJ134" s="13">
        <v>9.2063679999999995E-3</v>
      </c>
      <c r="AK134" s="13">
        <v>1.4331847E-2</v>
      </c>
      <c r="AL134" s="13">
        <v>1.7100008E-2</v>
      </c>
      <c r="AM134" s="13">
        <v>1.8808815E-2</v>
      </c>
      <c r="AN134" s="13">
        <v>1.9871284999999999E-2</v>
      </c>
      <c r="AO134" s="13">
        <v>0</v>
      </c>
      <c r="AP134" s="14">
        <v>0</v>
      </c>
      <c r="AQ134" s="14">
        <v>0</v>
      </c>
    </row>
    <row r="135" spans="1:43" hidden="1" x14ac:dyDescent="0.25">
      <c r="A135" s="15" t="s">
        <v>78</v>
      </c>
      <c r="B135" s="16" t="e">
        <f>VLOOKUP(Sheet1!D135,Sheet2!A132,1,FALSE)</f>
        <v>#N/A</v>
      </c>
      <c r="C135" s="15" t="s">
        <v>20</v>
      </c>
      <c r="D135" s="15" t="s">
        <v>172</v>
      </c>
      <c r="E135" s="16" t="s">
        <v>166</v>
      </c>
      <c r="F135" s="13">
        <v>2.1835206999999999E-2</v>
      </c>
      <c r="G135" s="13">
        <v>2.25823E-2</v>
      </c>
      <c r="H135" s="13">
        <v>2.3750466000000001E-2</v>
      </c>
      <c r="I135" s="13">
        <v>2.4408295999999999E-2</v>
      </c>
      <c r="J135" s="13">
        <v>2.4367887000000001E-2</v>
      </c>
      <c r="K135" s="13">
        <v>2.4185022E-2</v>
      </c>
      <c r="L135" s="13">
        <v>2.4008033000000002E-2</v>
      </c>
      <c r="M135" s="13">
        <v>-1.2296051000000001E-2</v>
      </c>
      <c r="N135" s="13">
        <v>-7.7318639999999998E-3</v>
      </c>
      <c r="O135" s="13">
        <v>-4.8534709999999998E-3</v>
      </c>
      <c r="P135" s="13">
        <v>-2.780626E-3</v>
      </c>
      <c r="Q135" s="13">
        <v>-1.8701970000000001E-3</v>
      </c>
      <c r="R135" s="13">
        <v>-8.9436699999999997E-4</v>
      </c>
      <c r="S135" s="13">
        <v>1.4087999999999999E-4</v>
      </c>
      <c r="T135" s="13">
        <v>5.7200221000000002E-2</v>
      </c>
      <c r="U135" s="13">
        <v>5.3764900999999997E-2</v>
      </c>
      <c r="V135" s="13">
        <v>5.3327373999999997E-2</v>
      </c>
      <c r="W135" s="13">
        <v>5.2594723000000003E-2</v>
      </c>
      <c r="X135" s="13">
        <v>5.1365143000000002E-2</v>
      </c>
      <c r="Y135" s="13">
        <v>4.9714798999999997E-2</v>
      </c>
      <c r="Z135" s="13">
        <v>4.8116552E-2</v>
      </c>
      <c r="AA135" s="13">
        <v>4.4076610000000002E-3</v>
      </c>
      <c r="AB135" s="13">
        <v>4.2944639999999996E-3</v>
      </c>
      <c r="AC135" s="13">
        <v>3.488494E-3</v>
      </c>
      <c r="AD135" s="13">
        <v>2.8448190000000002E-3</v>
      </c>
      <c r="AE135" s="13">
        <v>3.03667E-3</v>
      </c>
      <c r="AF135" s="13">
        <v>3.1727270000000002E-3</v>
      </c>
      <c r="AG135" s="13">
        <v>3.8324230000000002E-3</v>
      </c>
      <c r="AH135" s="13">
        <v>3.9565139999999999E-2</v>
      </c>
      <c r="AI135" s="13">
        <v>4.1203151E-2</v>
      </c>
      <c r="AJ135" s="13">
        <v>4.4421558999999999E-2</v>
      </c>
      <c r="AK135" s="13">
        <v>4.6435438000000002E-2</v>
      </c>
      <c r="AL135" s="13">
        <v>4.6152748E-2</v>
      </c>
      <c r="AM135" s="13">
        <v>4.5637442E-2</v>
      </c>
      <c r="AN135" s="13">
        <v>4.4589146000000003E-2</v>
      </c>
      <c r="AO135" s="13">
        <v>9.6283649999999998E-2</v>
      </c>
      <c r="AP135" s="14">
        <v>0.25422148100000003</v>
      </c>
      <c r="AQ135" s="14">
        <v>-0.256716783</v>
      </c>
    </row>
    <row r="136" spans="1:43" hidden="1" x14ac:dyDescent="0.25">
      <c r="A136" s="15" t="s">
        <v>78</v>
      </c>
      <c r="B136" s="16" t="e">
        <f>VLOOKUP(Sheet1!D136,Sheet2!A133,1,FALSE)</f>
        <v>#N/A</v>
      </c>
      <c r="C136" s="15" t="s">
        <v>23</v>
      </c>
      <c r="D136" s="15" t="s">
        <v>64</v>
      </c>
      <c r="E136" s="16" t="s">
        <v>45</v>
      </c>
      <c r="F136" s="13">
        <v>0.120284688</v>
      </c>
      <c r="G136" s="13">
        <v>0.121831836</v>
      </c>
      <c r="H136" s="13">
        <v>0.124904548</v>
      </c>
      <c r="I136" s="13">
        <v>0.12822613899999999</v>
      </c>
      <c r="J136" s="13">
        <v>0.129977172</v>
      </c>
      <c r="K136" s="13">
        <v>0.13099865199999999</v>
      </c>
      <c r="L136" s="13">
        <v>0.131662945</v>
      </c>
      <c r="M136" s="13">
        <v>-3.4905700999999997E-2</v>
      </c>
      <c r="N136" s="13">
        <v>-2.3387109999999999E-2</v>
      </c>
      <c r="O136" s="13">
        <v>-1.1488264999999999E-2</v>
      </c>
      <c r="P136" s="13">
        <v>3.2241420000000002E-3</v>
      </c>
      <c r="Q136" s="13">
        <v>1.4922935999999999E-2</v>
      </c>
      <c r="R136" s="13">
        <v>2.2050494E-2</v>
      </c>
      <c r="S136" s="13">
        <v>2.9311713E-2</v>
      </c>
      <c r="T136" s="13">
        <v>0.302995181</v>
      </c>
      <c r="U136" s="13">
        <v>0.29055318899999999</v>
      </c>
      <c r="V136" s="13">
        <v>0.28223439</v>
      </c>
      <c r="W136" s="13">
        <v>0.26959554000000002</v>
      </c>
      <c r="X136" s="13">
        <v>0.261142867</v>
      </c>
      <c r="Y136" s="13">
        <v>0.25190679399999999</v>
      </c>
      <c r="Z136" s="13">
        <v>0.24542902599999999</v>
      </c>
      <c r="AA136" s="13">
        <v>-1.5982598000000001E-2</v>
      </c>
      <c r="AB136" s="13">
        <v>-9.4051729999999993E-3</v>
      </c>
      <c r="AC136" s="13">
        <v>2.708986E-3</v>
      </c>
      <c r="AD136" s="13">
        <v>1.6742219999999999E-2</v>
      </c>
      <c r="AE136" s="13">
        <v>2.4980616000000001E-2</v>
      </c>
      <c r="AF136" s="13">
        <v>2.9270999999999998E-2</v>
      </c>
      <c r="AG136" s="13">
        <v>3.7268476000000002E-2</v>
      </c>
      <c r="AH136" s="13">
        <v>0.27655674200000002</v>
      </c>
      <c r="AI136" s="13">
        <v>0.27149338099999998</v>
      </c>
      <c r="AJ136" s="13">
        <v>0.26286906599999998</v>
      </c>
      <c r="AK136" s="13">
        <v>0.25264389100000001</v>
      </c>
      <c r="AL136" s="13">
        <v>0.24634857800000001</v>
      </c>
      <c r="AM136" s="13">
        <v>0.24335685300000001</v>
      </c>
      <c r="AN136" s="13">
        <v>0.235135969</v>
      </c>
      <c r="AO136" s="13">
        <v>0.29202349999999999</v>
      </c>
      <c r="AP136" s="14">
        <v>-0.23115788100000001</v>
      </c>
      <c r="AQ136" s="14">
        <v>0.83854528699999997</v>
      </c>
    </row>
    <row r="137" spans="1:43" hidden="1" x14ac:dyDescent="0.25">
      <c r="A137" s="15" t="s">
        <v>78</v>
      </c>
      <c r="B137" s="16" t="e">
        <f>VLOOKUP(Sheet1!D137,Sheet2!A134,1,FALSE)</f>
        <v>#N/A</v>
      </c>
      <c r="C137" s="15" t="s">
        <v>23</v>
      </c>
      <c r="D137" s="15" t="s">
        <v>65</v>
      </c>
      <c r="E137" s="16" t="s">
        <v>45</v>
      </c>
      <c r="F137" s="13">
        <v>2.7129468E-2</v>
      </c>
      <c r="G137" s="13">
        <v>2.9644309000000001E-2</v>
      </c>
      <c r="H137" s="13">
        <v>3.5089084E-2</v>
      </c>
      <c r="I137" s="13">
        <v>4.1844105999999999E-2</v>
      </c>
      <c r="J137" s="13">
        <v>4.5964807000000003E-2</v>
      </c>
      <c r="K137" s="13">
        <v>4.8600607999999997E-2</v>
      </c>
      <c r="L137" s="13">
        <v>5.0400214999999998E-2</v>
      </c>
      <c r="M137" s="13">
        <v>-1.5880291000000001E-2</v>
      </c>
      <c r="N137" s="13">
        <v>-8.7929299999999991E-3</v>
      </c>
      <c r="O137" s="13">
        <v>1.1E-5</v>
      </c>
      <c r="P137" s="13">
        <v>1.0823802E-2</v>
      </c>
      <c r="Q137" s="13">
        <v>1.7565053000000001E-2</v>
      </c>
      <c r="R137" s="13">
        <v>2.2475598999999999E-2</v>
      </c>
      <c r="S137" s="13">
        <v>2.5851374999999999E-2</v>
      </c>
      <c r="T137" s="13">
        <v>7.1398199999999995E-2</v>
      </c>
      <c r="U137" s="13">
        <v>6.9356201000000006E-2</v>
      </c>
      <c r="V137" s="13">
        <v>7.0733316000000004E-2</v>
      </c>
      <c r="W137" s="13">
        <v>7.3752153000000001E-2</v>
      </c>
      <c r="X137" s="13">
        <v>7.5059207000000003E-2</v>
      </c>
      <c r="Y137" s="13">
        <v>7.5548121999999995E-2</v>
      </c>
      <c r="Z137" s="13">
        <v>7.5548730999999994E-2</v>
      </c>
      <c r="AA137" s="13">
        <v>2.1065849999999998E-3</v>
      </c>
      <c r="AB137" s="13">
        <v>4.8533220000000002E-3</v>
      </c>
      <c r="AC137" s="13">
        <v>1.1438356E-2</v>
      </c>
      <c r="AD137" s="13">
        <v>1.8221428000000001E-2</v>
      </c>
      <c r="AE137" s="13">
        <v>2.2972653999999999E-2</v>
      </c>
      <c r="AF137" s="13">
        <v>2.6599922000000002E-2</v>
      </c>
      <c r="AG137" s="13">
        <v>2.9928765E-2</v>
      </c>
      <c r="AH137" s="13">
        <v>5.2783034E-2</v>
      </c>
      <c r="AI137" s="13">
        <v>5.5052635000000003E-2</v>
      </c>
      <c r="AJ137" s="13">
        <v>5.9297976000000002E-2</v>
      </c>
      <c r="AK137" s="13">
        <v>6.6019882000000002E-2</v>
      </c>
      <c r="AL137" s="13">
        <v>6.9478469000000001E-2</v>
      </c>
      <c r="AM137" s="13">
        <v>7.1077092999999994E-2</v>
      </c>
      <c r="AN137" s="13">
        <v>7.1282278000000004E-2</v>
      </c>
      <c r="AO137" s="13">
        <v>0.11148024600000001</v>
      </c>
      <c r="AP137" s="14">
        <v>0.16968534399999999</v>
      </c>
      <c r="AQ137" s="14">
        <v>0.53314115399999995</v>
      </c>
    </row>
    <row r="138" spans="1:43" hidden="1" x14ac:dyDescent="0.25">
      <c r="A138" s="15" t="s">
        <v>78</v>
      </c>
      <c r="B138" s="16" t="e">
        <f>VLOOKUP(Sheet1!D138,Sheet2!A135,1,FALSE)</f>
        <v>#N/A</v>
      </c>
      <c r="C138" s="15" t="s">
        <v>23</v>
      </c>
      <c r="D138" s="15" t="s">
        <v>24</v>
      </c>
      <c r="E138" s="16" t="s">
        <v>46</v>
      </c>
      <c r="F138" s="13">
        <v>4.2277579999999999E-3</v>
      </c>
      <c r="G138" s="13">
        <v>7.6528789999999996E-3</v>
      </c>
      <c r="H138" s="13">
        <v>1.5320767000000001E-2</v>
      </c>
      <c r="I138" s="13">
        <v>2.5287400000000002E-2</v>
      </c>
      <c r="J138" s="13">
        <v>3.1625207000000002E-2</v>
      </c>
      <c r="K138" s="13">
        <v>3.5773366000000001E-2</v>
      </c>
      <c r="L138" s="13">
        <v>3.8638167000000001E-2</v>
      </c>
      <c r="M138" s="13">
        <v>-2.7964197999999999E-2</v>
      </c>
      <c r="N138" s="13">
        <v>-2.1187812E-2</v>
      </c>
      <c r="O138" s="13">
        <v>-1.1229251000000001E-2</v>
      </c>
      <c r="P138" s="13">
        <v>7.7361300000000004E-4</v>
      </c>
      <c r="Q138" s="13">
        <v>8.6125230000000004E-3</v>
      </c>
      <c r="R138" s="13">
        <v>1.4302713999999999E-2</v>
      </c>
      <c r="S138" s="13">
        <v>1.8274614000000002E-2</v>
      </c>
      <c r="T138" s="13">
        <v>3.7462259999999997E-2</v>
      </c>
      <c r="U138" s="13">
        <v>3.7394240000000002E-2</v>
      </c>
      <c r="V138" s="13">
        <v>4.2407746000000003E-2</v>
      </c>
      <c r="W138" s="13">
        <v>5.0314860000000003E-2</v>
      </c>
      <c r="X138" s="13">
        <v>5.4820683000000002E-2</v>
      </c>
      <c r="Y138" s="13">
        <v>5.7816635999999998E-2</v>
      </c>
      <c r="Z138" s="13">
        <v>5.9336304999999999E-2</v>
      </c>
      <c r="AA138" s="13">
        <v>-1.5425133000000001E-2</v>
      </c>
      <c r="AB138" s="13">
        <v>-1.1081011999999999E-2</v>
      </c>
      <c r="AC138" s="13">
        <v>-3.7248820000000001E-3</v>
      </c>
      <c r="AD138" s="13">
        <v>6.18492E-3</v>
      </c>
      <c r="AE138" s="13">
        <v>1.2878942000000001E-2</v>
      </c>
      <c r="AF138" s="13">
        <v>1.6933182000000001E-2</v>
      </c>
      <c r="AG138" s="13">
        <v>2.0160151000000001E-2</v>
      </c>
      <c r="AH138" s="13">
        <v>2.4274939999999998E-2</v>
      </c>
      <c r="AI138" s="13">
        <v>2.6743466E-2</v>
      </c>
      <c r="AJ138" s="13">
        <v>3.4732346999999997E-2</v>
      </c>
      <c r="AK138" s="13">
        <v>4.4754362999999998E-2</v>
      </c>
      <c r="AL138" s="13">
        <v>5.0720148999999999E-2</v>
      </c>
      <c r="AM138" s="13">
        <v>5.4964316999999999E-2</v>
      </c>
      <c r="AN138" s="13">
        <v>5.745252E-2</v>
      </c>
      <c r="AO138" s="13">
        <v>8.9545441000000003E-2</v>
      </c>
      <c r="AP138" s="14">
        <v>0.65468773899999999</v>
      </c>
      <c r="AQ138" s="14">
        <v>5.6814864999999999E-2</v>
      </c>
    </row>
    <row r="139" spans="1:43" hidden="1" x14ac:dyDescent="0.25">
      <c r="A139" s="15" t="s">
        <v>78</v>
      </c>
      <c r="B139" s="16" t="e">
        <f>VLOOKUP(Sheet1!D139,Sheet2!A136,1,FALSE)</f>
        <v>#N/A</v>
      </c>
      <c r="C139" s="15" t="s">
        <v>23</v>
      </c>
      <c r="D139" s="15" t="s">
        <v>25</v>
      </c>
      <c r="E139" s="16" t="s">
        <v>45</v>
      </c>
      <c r="F139" s="13">
        <v>4.4094308999999998E-2</v>
      </c>
      <c r="G139" s="13">
        <v>4.5919010000000003E-2</v>
      </c>
      <c r="H139" s="13">
        <v>4.9683149000000003E-2</v>
      </c>
      <c r="I139" s="13">
        <v>5.4022074000000003E-2</v>
      </c>
      <c r="J139" s="13">
        <v>5.6482777999999997E-2</v>
      </c>
      <c r="K139" s="13">
        <v>5.7989889000000003E-2</v>
      </c>
      <c r="L139" s="13">
        <v>5.8996285000000002E-2</v>
      </c>
      <c r="M139" s="13">
        <v>6.0912379999999997E-3</v>
      </c>
      <c r="N139" s="13">
        <v>1.1813306000000001E-2</v>
      </c>
      <c r="O139" s="13">
        <v>1.9026399999999999E-2</v>
      </c>
      <c r="P139" s="13">
        <v>2.6423220000000001E-2</v>
      </c>
      <c r="Q139" s="13">
        <v>3.1440261999999997E-2</v>
      </c>
      <c r="R139" s="13">
        <v>3.4692309999999997E-2</v>
      </c>
      <c r="S139" s="13">
        <v>3.7104521000000001E-2</v>
      </c>
      <c r="T139" s="13">
        <v>8.3149049000000003E-2</v>
      </c>
      <c r="U139" s="13">
        <v>8.0734440000000005E-2</v>
      </c>
      <c r="V139" s="13">
        <v>8.1473500000000004E-2</v>
      </c>
      <c r="W139" s="13">
        <v>8.2198378000000002E-2</v>
      </c>
      <c r="X139" s="13">
        <v>8.2418877000000001E-2</v>
      </c>
      <c r="Y139" s="13">
        <v>8.1945153000000007E-2</v>
      </c>
      <c r="Z139" s="13">
        <v>8.1195868000000004E-2</v>
      </c>
      <c r="AA139" s="13">
        <v>2.0890939000000001E-2</v>
      </c>
      <c r="AB139" s="13">
        <v>2.2856919E-2</v>
      </c>
      <c r="AC139" s="13">
        <v>2.7273120000000001E-2</v>
      </c>
      <c r="AD139" s="13">
        <v>3.3042626999999998E-2</v>
      </c>
      <c r="AE139" s="13">
        <v>3.6033778000000002E-2</v>
      </c>
      <c r="AF139" s="13">
        <v>3.8898870000000002E-2</v>
      </c>
      <c r="AG139" s="13">
        <v>4.0967986999999997E-2</v>
      </c>
      <c r="AH139" s="13">
        <v>6.7831330999999995E-2</v>
      </c>
      <c r="AI139" s="13">
        <v>6.9507248999999993E-2</v>
      </c>
      <c r="AJ139" s="13">
        <v>7.2587832000000005E-2</v>
      </c>
      <c r="AK139" s="13">
        <v>7.5432608999999998E-2</v>
      </c>
      <c r="AL139" s="13">
        <v>7.7340124999999996E-2</v>
      </c>
      <c r="AM139" s="13">
        <v>7.7435826999999999E-2</v>
      </c>
      <c r="AN139" s="13">
        <v>7.7340471999999993E-2</v>
      </c>
      <c r="AO139" s="13">
        <v>9.9054917000000006E-2</v>
      </c>
      <c r="AP139" s="14">
        <v>0.164427675</v>
      </c>
      <c r="AQ139" s="14">
        <v>0.50113397400000004</v>
      </c>
    </row>
    <row r="140" spans="1:43" hidden="1" x14ac:dyDescent="0.25">
      <c r="A140" s="15" t="s">
        <v>78</v>
      </c>
      <c r="B140" s="16" t="e">
        <f>VLOOKUP(Sheet1!D140,Sheet2!A137,1,FALSE)</f>
        <v>#N/A</v>
      </c>
      <c r="C140" s="15" t="s">
        <v>23</v>
      </c>
      <c r="D140" s="15" t="s">
        <v>26</v>
      </c>
      <c r="E140" s="16" t="s">
        <v>45</v>
      </c>
      <c r="F140" s="13">
        <v>5.4679585000000003E-2</v>
      </c>
      <c r="G140" s="13">
        <v>5.6481574999999999E-2</v>
      </c>
      <c r="H140" s="13">
        <v>6.0185995999999999E-2</v>
      </c>
      <c r="I140" s="13">
        <v>6.4432204000000007E-2</v>
      </c>
      <c r="J140" s="13">
        <v>6.6825921999999996E-2</v>
      </c>
      <c r="K140" s="13">
        <v>6.8286463000000006E-2</v>
      </c>
      <c r="L140" s="13">
        <v>6.9259819E-2</v>
      </c>
      <c r="M140" s="13">
        <v>-7.8264688999999998E-2</v>
      </c>
      <c r="N140" s="13">
        <v>-6.7653134000000004E-2</v>
      </c>
      <c r="O140" s="13">
        <v>-5.7061191999999997E-2</v>
      </c>
      <c r="P140" s="13">
        <v>-4.2396740000000002E-2</v>
      </c>
      <c r="Q140" s="13">
        <v>-2.9015513999999999E-2</v>
      </c>
      <c r="R140" s="13">
        <v>-2.0752690000000001E-2</v>
      </c>
      <c r="S140" s="13">
        <v>-1.3938674999999999E-2</v>
      </c>
      <c r="T140" s="13">
        <v>0.20784567700000001</v>
      </c>
      <c r="U140" s="13">
        <v>0.19949019300000001</v>
      </c>
      <c r="V140" s="13">
        <v>0.19285928299999999</v>
      </c>
      <c r="W140" s="13">
        <v>0.18266026599999999</v>
      </c>
      <c r="X140" s="13">
        <v>0.172296385</v>
      </c>
      <c r="Y140" s="13">
        <v>0.16617442499999999</v>
      </c>
      <c r="Z140" s="13">
        <v>0.15914435099999999</v>
      </c>
      <c r="AA140" s="13">
        <v>-6.8120472000000001E-2</v>
      </c>
      <c r="AB140" s="13">
        <v>-6.3542583999999999E-2</v>
      </c>
      <c r="AC140" s="13">
        <v>-4.9367673000000001E-2</v>
      </c>
      <c r="AD140" s="13">
        <v>-3.5495567999999998E-2</v>
      </c>
      <c r="AE140" s="13">
        <v>-2.7834932999999999E-2</v>
      </c>
      <c r="AF140" s="13">
        <v>-2.1170604999999999E-2</v>
      </c>
      <c r="AG140" s="13">
        <v>-1.2156527E-2</v>
      </c>
      <c r="AH140" s="13">
        <v>0.19392678299999999</v>
      </c>
      <c r="AI140" s="13">
        <v>0.19213944599999999</v>
      </c>
      <c r="AJ140" s="13">
        <v>0.182567374</v>
      </c>
      <c r="AK140" s="13">
        <v>0.17487657700000001</v>
      </c>
      <c r="AL140" s="13">
        <v>0.17084846300000001</v>
      </c>
      <c r="AM140" s="13">
        <v>0.16604642</v>
      </c>
      <c r="AN140" s="13">
        <v>0.157489826</v>
      </c>
      <c r="AO140" s="13">
        <v>0.16895902800000001</v>
      </c>
      <c r="AP140" s="14">
        <v>5.6355795E-2</v>
      </c>
      <c r="AQ140" s="14">
        <v>0.56175651100000001</v>
      </c>
    </row>
    <row r="141" spans="1:43" hidden="1" x14ac:dyDescent="0.25">
      <c r="A141" s="15" t="s">
        <v>78</v>
      </c>
      <c r="B141" s="16" t="e">
        <f>VLOOKUP(Sheet1!D141,Sheet2!A138,1,FALSE)</f>
        <v>#N/A</v>
      </c>
      <c r="C141" s="15" t="s">
        <v>23</v>
      </c>
      <c r="D141" s="15" t="s">
        <v>27</v>
      </c>
      <c r="E141" s="16" t="s">
        <v>47</v>
      </c>
      <c r="F141" s="13">
        <v>3.8857312999999997E-2</v>
      </c>
      <c r="G141" s="13">
        <v>4.1007593000000002E-2</v>
      </c>
      <c r="H141" s="13">
        <v>4.5568201000000003E-2</v>
      </c>
      <c r="I141" s="13">
        <v>5.1057407999999999E-2</v>
      </c>
      <c r="J141" s="13">
        <v>5.4310749999999998E-2</v>
      </c>
      <c r="K141" s="13">
        <v>5.6357428000000001E-2</v>
      </c>
      <c r="L141" s="13">
        <v>5.7743152999999998E-2</v>
      </c>
      <c r="M141" s="13">
        <v>3.9357699999999999E-4</v>
      </c>
      <c r="N141" s="13">
        <v>5.7224169999999996E-3</v>
      </c>
      <c r="O141" s="13">
        <v>1.2716824E-2</v>
      </c>
      <c r="P141" s="13">
        <v>2.0932241000000001E-2</v>
      </c>
      <c r="Q141" s="13">
        <v>2.6906847000000001E-2</v>
      </c>
      <c r="R141" s="13">
        <v>3.0631993E-2</v>
      </c>
      <c r="S141" s="13">
        <v>3.354124E-2</v>
      </c>
      <c r="T141" s="13">
        <v>7.8728229999999996E-2</v>
      </c>
      <c r="U141" s="13">
        <v>7.7931670999999994E-2</v>
      </c>
      <c r="V141" s="13">
        <v>7.9390129000000004E-2</v>
      </c>
      <c r="W141" s="13">
        <v>8.1530504000000004E-2</v>
      </c>
      <c r="X141" s="13">
        <v>8.2686308E-2</v>
      </c>
      <c r="Y141" s="13">
        <v>8.2652204000000007E-2</v>
      </c>
      <c r="Z141" s="13">
        <v>8.2534464000000002E-2</v>
      </c>
      <c r="AA141" s="13">
        <v>7.3560489999999999E-3</v>
      </c>
      <c r="AB141" s="13">
        <v>1.058247E-2</v>
      </c>
      <c r="AC141" s="13">
        <v>1.5880299E-2</v>
      </c>
      <c r="AD141" s="13">
        <v>2.3573202000000001E-2</v>
      </c>
      <c r="AE141" s="13">
        <v>2.8670594000000001E-2</v>
      </c>
      <c r="AF141" s="13">
        <v>3.3917465000000001E-2</v>
      </c>
      <c r="AG141" s="13">
        <v>3.6614604000000002E-2</v>
      </c>
      <c r="AH141" s="13">
        <v>7.1363616000000005E-2</v>
      </c>
      <c r="AI141" s="13">
        <v>7.2367209000000002E-2</v>
      </c>
      <c r="AJ141" s="13">
        <v>7.6141125000000004E-2</v>
      </c>
      <c r="AK141" s="13">
        <v>7.9294313000000005E-2</v>
      </c>
      <c r="AL141" s="13">
        <v>8.0602673999999999E-2</v>
      </c>
      <c r="AM141" s="13">
        <v>7.9294033E-2</v>
      </c>
      <c r="AN141" s="13">
        <v>7.9310822000000003E-2</v>
      </c>
      <c r="AO141" s="13">
        <v>7.4110272000000005E-2</v>
      </c>
      <c r="AP141" s="14">
        <v>-0.32626507199999999</v>
      </c>
      <c r="AQ141" s="14">
        <v>0.83762503499999996</v>
      </c>
    </row>
    <row r="142" spans="1:43" hidden="1" x14ac:dyDescent="0.25">
      <c r="A142" s="15" t="s">
        <v>78</v>
      </c>
      <c r="B142" s="16" t="e">
        <f>VLOOKUP(Sheet1!D142,Sheet2!A139,1,FALSE)</f>
        <v>#N/A</v>
      </c>
      <c r="C142" s="15" t="s">
        <v>23</v>
      </c>
      <c r="D142" s="15" t="s">
        <v>195</v>
      </c>
      <c r="E142" s="16" t="s">
        <v>45</v>
      </c>
      <c r="F142" s="13">
        <v>5.1495193000000002E-2</v>
      </c>
      <c r="G142" s="13">
        <v>5.2482031999999998E-2</v>
      </c>
      <c r="H142" s="13">
        <v>5.4215739999999998E-2</v>
      </c>
      <c r="I142" s="13">
        <v>5.5655878999999998E-2</v>
      </c>
      <c r="J142" s="13">
        <v>5.6137093999999998E-2</v>
      </c>
      <c r="K142" s="13">
        <v>5.6303348000000003E-2</v>
      </c>
      <c r="L142" s="13">
        <v>5.6369682999999997E-2</v>
      </c>
      <c r="M142" s="13">
        <v>-2.2479129999999998E-3</v>
      </c>
      <c r="N142" s="13">
        <v>3.2922519999999999E-3</v>
      </c>
      <c r="O142" s="13">
        <v>7.2282290000000001E-3</v>
      </c>
      <c r="P142" s="13">
        <v>1.1606613E-2</v>
      </c>
      <c r="Q142" s="13">
        <v>1.4040412E-2</v>
      </c>
      <c r="R142" s="13">
        <v>1.6356612999999999E-2</v>
      </c>
      <c r="S142" s="13">
        <v>1.8927835E-2</v>
      </c>
      <c r="T142" s="13">
        <v>0.108555939</v>
      </c>
      <c r="U142" s="13">
        <v>0.10481955599999999</v>
      </c>
      <c r="V142" s="13">
        <v>0.103372693</v>
      </c>
      <c r="W142" s="13">
        <v>0.101956041</v>
      </c>
      <c r="X142" s="13">
        <v>0.100018472</v>
      </c>
      <c r="Y142" s="13">
        <v>9.7706415000000005E-2</v>
      </c>
      <c r="Z142" s="13">
        <v>9.5389768999999999E-2</v>
      </c>
      <c r="AA142" s="13">
        <v>1.6919522999999999E-2</v>
      </c>
      <c r="AB142" s="13">
        <v>1.8609549E-2</v>
      </c>
      <c r="AC142" s="13">
        <v>1.5521511E-2</v>
      </c>
      <c r="AD142" s="13">
        <v>1.6930944E-2</v>
      </c>
      <c r="AE142" s="13">
        <v>1.9749418000000001E-2</v>
      </c>
      <c r="AF142" s="13">
        <v>2.2737505000000002E-2</v>
      </c>
      <c r="AG142" s="13">
        <v>2.3976903000000001E-2</v>
      </c>
      <c r="AH142" s="13">
        <v>8.7257302999999994E-2</v>
      </c>
      <c r="AI142" s="13">
        <v>8.7491283000000003E-2</v>
      </c>
      <c r="AJ142" s="13">
        <v>9.4397970999999997E-2</v>
      </c>
      <c r="AK142" s="13">
        <v>9.5869099999999999E-2</v>
      </c>
      <c r="AL142" s="13">
        <v>9.3835140999999997E-2</v>
      </c>
      <c r="AM142" s="13">
        <v>9.0980918999999993E-2</v>
      </c>
      <c r="AN142" s="13">
        <v>8.9796578000000002E-2</v>
      </c>
      <c r="AO142" s="13">
        <v>0.13174609100000001</v>
      </c>
      <c r="AP142" s="14">
        <v>0.170406162</v>
      </c>
      <c r="AQ142" s="14">
        <v>0.39878819300000001</v>
      </c>
    </row>
    <row r="143" spans="1:43" hidden="1" x14ac:dyDescent="0.25">
      <c r="A143" s="15" t="s">
        <v>78</v>
      </c>
      <c r="B143" s="16" t="e">
        <f>VLOOKUP(Sheet1!D143,Sheet2!A140,1,FALSE)</f>
        <v>#N/A</v>
      </c>
      <c r="C143" s="15" t="s">
        <v>23</v>
      </c>
      <c r="D143" s="15" t="s">
        <v>28</v>
      </c>
      <c r="E143" s="16" t="s">
        <v>45</v>
      </c>
      <c r="F143" s="13">
        <v>6.8847433E-2</v>
      </c>
      <c r="G143" s="13">
        <v>7.0397491000000006E-2</v>
      </c>
      <c r="H143" s="13">
        <v>7.3490156000000001E-2</v>
      </c>
      <c r="I143" s="13">
        <v>7.6860568000000004E-2</v>
      </c>
      <c r="J143" s="13">
        <v>7.8654825999999997E-2</v>
      </c>
      <c r="K143" s="13">
        <v>7.9708739000000001E-2</v>
      </c>
      <c r="L143" s="13">
        <v>8.0396767999999993E-2</v>
      </c>
      <c r="M143" s="13">
        <v>1.0446021E-2</v>
      </c>
      <c r="N143" s="13">
        <v>1.6486569E-2</v>
      </c>
      <c r="O143" s="13">
        <v>2.1670124999999998E-2</v>
      </c>
      <c r="P143" s="13">
        <v>2.8099832000000002E-2</v>
      </c>
      <c r="Q143" s="13">
        <v>3.1956397999999997E-2</v>
      </c>
      <c r="R143" s="13">
        <v>3.4997991999999999E-2</v>
      </c>
      <c r="S143" s="13">
        <v>3.7856605000000002E-2</v>
      </c>
      <c r="T143" s="13">
        <v>0.13037006000000001</v>
      </c>
      <c r="U143" s="13">
        <v>0.12700679200000001</v>
      </c>
      <c r="V143" s="13">
        <v>0.12797524599999999</v>
      </c>
      <c r="W143" s="13">
        <v>0.128470363</v>
      </c>
      <c r="X143" s="13">
        <v>0.12779955100000001</v>
      </c>
      <c r="Y143" s="13">
        <v>0.12657410899999999</v>
      </c>
      <c r="Z143" s="13">
        <v>0.12449521199999999</v>
      </c>
      <c r="AA143" s="13">
        <v>2.6471993999999999E-2</v>
      </c>
      <c r="AB143" s="13">
        <v>2.7311543000000001E-2</v>
      </c>
      <c r="AC143" s="13">
        <v>3.0727152000000001E-2</v>
      </c>
      <c r="AD143" s="13">
        <v>3.459984E-2</v>
      </c>
      <c r="AE143" s="13">
        <v>3.5964286999999998E-2</v>
      </c>
      <c r="AF143" s="13">
        <v>3.7590643999999999E-2</v>
      </c>
      <c r="AG143" s="13">
        <v>3.9015445000000003E-2</v>
      </c>
      <c r="AH143" s="13">
        <v>0.113015914</v>
      </c>
      <c r="AI143" s="13">
        <v>0.11533556</v>
      </c>
      <c r="AJ143" s="13">
        <v>0.118071421</v>
      </c>
      <c r="AK143" s="13">
        <v>0.120890287</v>
      </c>
      <c r="AL143" s="13">
        <v>0.123148084</v>
      </c>
      <c r="AM143" s="13">
        <v>0.12357871300000001</v>
      </c>
      <c r="AN143" s="13">
        <v>0.12346686</v>
      </c>
      <c r="AO143" s="13">
        <v>0.13923898000000001</v>
      </c>
      <c r="AP143" s="14">
        <v>-0.13378131200000001</v>
      </c>
      <c r="AQ143" s="14">
        <v>0.64545739000000002</v>
      </c>
    </row>
    <row r="144" spans="1:43" hidden="1" x14ac:dyDescent="0.25">
      <c r="A144" s="15" t="s">
        <v>93</v>
      </c>
      <c r="B144" s="16" t="e">
        <f>VLOOKUP(Sheet1!D144,Sheet2!A141,1,FALSE)</f>
        <v>#N/A</v>
      </c>
      <c r="C144" s="15" t="s">
        <v>15</v>
      </c>
      <c r="D144" s="15" t="s">
        <v>17</v>
      </c>
      <c r="E144" s="16" t="s">
        <v>29</v>
      </c>
      <c r="F144" s="13">
        <v>5.0226016999999998E-2</v>
      </c>
      <c r="G144" s="13">
        <v>5.1031053E-2</v>
      </c>
      <c r="H144" s="13">
        <v>5.2763473999999998E-2</v>
      </c>
      <c r="I144" s="13">
        <v>5.4872091999999997E-2</v>
      </c>
      <c r="J144" s="13">
        <v>5.6122321000000003E-2</v>
      </c>
      <c r="K144" s="13">
        <v>5.6904323E-2</v>
      </c>
      <c r="L144" s="13">
        <v>5.7430947000000003E-2</v>
      </c>
      <c r="M144" s="13">
        <v>-2.382217E-2</v>
      </c>
      <c r="N144" s="13">
        <v>-1.5525858E-2</v>
      </c>
      <c r="O144" s="13">
        <v>-1.0097534E-2</v>
      </c>
      <c r="P144" s="13">
        <v>-3.9809440000000001E-3</v>
      </c>
      <c r="Q144" s="13">
        <v>4.5925399999999998E-4</v>
      </c>
      <c r="R144" s="13">
        <v>4.0936389999999996E-3</v>
      </c>
      <c r="S144" s="13">
        <v>7.1725340000000004E-3</v>
      </c>
      <c r="T144" s="13">
        <v>0.12911555499999999</v>
      </c>
      <c r="U144" s="13">
        <v>0.121577504</v>
      </c>
      <c r="V144" s="13">
        <v>0.119413352</v>
      </c>
      <c r="W144" s="13">
        <v>0.117369343</v>
      </c>
      <c r="X144" s="13">
        <v>0.11496703</v>
      </c>
      <c r="Y144" s="13">
        <v>0.11241981099999999</v>
      </c>
      <c r="Z144" s="13">
        <v>0.109759787</v>
      </c>
      <c r="AA144" s="13">
        <v>1.2053342E-2</v>
      </c>
      <c r="AB144" s="13">
        <v>1.1840622E-2</v>
      </c>
      <c r="AC144" s="13">
        <v>9.2956849999999997E-3</v>
      </c>
      <c r="AD144" s="13">
        <v>8.7902369999999994E-3</v>
      </c>
      <c r="AE144" s="13">
        <v>1.1872343E-2</v>
      </c>
      <c r="AF144" s="13">
        <v>1.3240172999999999E-2</v>
      </c>
      <c r="AG144" s="13">
        <v>1.514566E-2</v>
      </c>
      <c r="AH144" s="13">
        <v>8.9838494000000005E-2</v>
      </c>
      <c r="AI144" s="13">
        <v>9.1739400999999998E-2</v>
      </c>
      <c r="AJ144" s="13">
        <v>9.8103311999999998E-2</v>
      </c>
      <c r="AK144" s="13">
        <v>0.103059103</v>
      </c>
      <c r="AL144" s="13">
        <v>0.102307386</v>
      </c>
      <c r="AM144" s="13">
        <v>0.102450139</v>
      </c>
      <c r="AN144" s="13">
        <v>0.101477625</v>
      </c>
      <c r="AO144" s="13">
        <v>0.21131314600000001</v>
      </c>
      <c r="AP144" s="14">
        <v>-0.30023085900000002</v>
      </c>
      <c r="AQ144" s="14">
        <v>0.84327296299999999</v>
      </c>
    </row>
    <row r="145" spans="1:43" hidden="1" x14ac:dyDescent="0.25">
      <c r="A145" s="15" t="s">
        <v>93</v>
      </c>
      <c r="B145" s="16" t="e">
        <f>VLOOKUP(Sheet1!D145,Sheet2!A142,1,FALSE)</f>
        <v>#N/A</v>
      </c>
      <c r="C145" s="15" t="s">
        <v>15</v>
      </c>
      <c r="D145" s="15" t="s">
        <v>192</v>
      </c>
      <c r="E145" s="16" t="s">
        <v>30</v>
      </c>
      <c r="F145" s="13">
        <v>2.6311054E-2</v>
      </c>
      <c r="G145" s="13">
        <v>2.8432638E-2</v>
      </c>
      <c r="H145" s="13">
        <v>3.3353012000000001E-2</v>
      </c>
      <c r="I145" s="13">
        <v>4.0017599000000001E-2</v>
      </c>
      <c r="J145" s="13">
        <v>4.4386859000000001E-2</v>
      </c>
      <c r="K145" s="13">
        <v>4.7286514000000002E-2</v>
      </c>
      <c r="L145" s="13">
        <v>4.9300389E-2</v>
      </c>
      <c r="M145" s="13">
        <v>-4.1374986000000002E-2</v>
      </c>
      <c r="N145" s="13">
        <v>-3.1986499000000002E-2</v>
      </c>
      <c r="O145" s="13">
        <v>-2.0235594999999999E-2</v>
      </c>
      <c r="P145" s="13">
        <v>-7.7467050000000004E-3</v>
      </c>
      <c r="Q145" s="13">
        <v>8.5979999999999997E-4</v>
      </c>
      <c r="R145" s="13">
        <v>7.1187860000000002E-3</v>
      </c>
      <c r="S145" s="13">
        <v>1.131776E-2</v>
      </c>
      <c r="T145" s="13">
        <v>9.9184314999999995E-2</v>
      </c>
      <c r="U145" s="13">
        <v>9.2113331000000007E-2</v>
      </c>
      <c r="V145" s="13">
        <v>9.0135371000000006E-2</v>
      </c>
      <c r="W145" s="13">
        <v>9.0763888000000001E-2</v>
      </c>
      <c r="X145" s="13">
        <v>9.0429035000000005E-2</v>
      </c>
      <c r="Y145" s="13">
        <v>8.9654184999999997E-2</v>
      </c>
      <c r="Z145" s="13">
        <v>8.8736882000000003E-2</v>
      </c>
      <c r="AA145" s="13">
        <v>-4.9819130000000001E-3</v>
      </c>
      <c r="AB145" s="13">
        <v>-1.911006E-3</v>
      </c>
      <c r="AC145" s="13">
        <v>2.555533E-3</v>
      </c>
      <c r="AD145" s="13">
        <v>8.4366230000000007E-3</v>
      </c>
      <c r="AE145" s="13">
        <v>1.4241337999999999E-2</v>
      </c>
      <c r="AF145" s="13">
        <v>1.8785073999999999E-2</v>
      </c>
      <c r="AG145" s="13">
        <v>2.1699586999999999E-2</v>
      </c>
      <c r="AH145" s="13">
        <v>5.8588174999999999E-2</v>
      </c>
      <c r="AI145" s="13">
        <v>5.9698793999999999E-2</v>
      </c>
      <c r="AJ145" s="13">
        <v>6.5096560999999997E-2</v>
      </c>
      <c r="AK145" s="13">
        <v>7.2587642999999993E-2</v>
      </c>
      <c r="AL145" s="13">
        <v>7.5428376000000005E-2</v>
      </c>
      <c r="AM145" s="13">
        <v>7.6585313000000002E-2</v>
      </c>
      <c r="AN145" s="13">
        <v>7.7646836999999996E-2</v>
      </c>
      <c r="AO145" s="13">
        <v>0.20129847300000001</v>
      </c>
      <c r="AP145" s="14">
        <v>-0.329747128</v>
      </c>
      <c r="AQ145" s="14">
        <v>0.889381011</v>
      </c>
    </row>
    <row r="146" spans="1:43" hidden="1" x14ac:dyDescent="0.25">
      <c r="A146" s="15" t="s">
        <v>93</v>
      </c>
      <c r="B146" s="16" t="e">
        <f>VLOOKUP(Sheet1!D146,Sheet2!A143,1,FALSE)</f>
        <v>#N/A</v>
      </c>
      <c r="C146" s="15" t="s">
        <v>15</v>
      </c>
      <c r="D146" s="15" t="s">
        <v>18</v>
      </c>
      <c r="E146" s="16" t="s">
        <v>31</v>
      </c>
      <c r="F146" s="13">
        <v>3.8783811000000001E-2</v>
      </c>
      <c r="G146" s="13">
        <v>4.1339102000000003E-2</v>
      </c>
      <c r="H146" s="13">
        <v>4.7308372000000001E-2</v>
      </c>
      <c r="I146" s="13">
        <v>5.5471840000000001E-2</v>
      </c>
      <c r="J146" s="13">
        <v>6.0868181E-2</v>
      </c>
      <c r="K146" s="13">
        <v>6.4466022999999997E-2</v>
      </c>
      <c r="L146" s="13">
        <v>6.6970838000000005E-2</v>
      </c>
      <c r="M146" s="13">
        <v>-3.8889522000000003E-2</v>
      </c>
      <c r="N146" s="13">
        <v>-2.6437045999999999E-2</v>
      </c>
      <c r="O146" s="13">
        <v>-1.3311725E-2</v>
      </c>
      <c r="P146" s="13">
        <v>1.9475300000000001E-3</v>
      </c>
      <c r="Q146" s="13">
        <v>1.2322688E-2</v>
      </c>
      <c r="R146" s="13">
        <v>1.9816004000000002E-2</v>
      </c>
      <c r="S146" s="13">
        <v>2.5204387000000002E-2</v>
      </c>
      <c r="T146" s="13">
        <v>0.122180856</v>
      </c>
      <c r="U146" s="13">
        <v>0.11500076200000001</v>
      </c>
      <c r="V146" s="13">
        <v>0.112118908</v>
      </c>
      <c r="W146" s="13">
        <v>0.11159055399999999</v>
      </c>
      <c r="X146" s="13">
        <v>0.11206503</v>
      </c>
      <c r="Y146" s="13">
        <v>0.11168829700000001</v>
      </c>
      <c r="Z146" s="13">
        <v>0.11069196100000001</v>
      </c>
      <c r="AA146" s="13">
        <v>5.7578409999999997E-3</v>
      </c>
      <c r="AB146" s="13">
        <v>9.5600249999999998E-3</v>
      </c>
      <c r="AC146" s="13">
        <v>1.5778517999999998E-2</v>
      </c>
      <c r="AD146" s="13">
        <v>2.4079831999999999E-2</v>
      </c>
      <c r="AE146" s="13">
        <v>3.1154790000000002E-2</v>
      </c>
      <c r="AF146" s="13">
        <v>3.5629045999999998E-2</v>
      </c>
      <c r="AG146" s="13">
        <v>3.8672031000000003E-2</v>
      </c>
      <c r="AH146" s="13">
        <v>7.2894249999999994E-2</v>
      </c>
      <c r="AI146" s="13">
        <v>7.4118539999999997E-2</v>
      </c>
      <c r="AJ146" s="13">
        <v>7.9816916000000002E-2</v>
      </c>
      <c r="AK146" s="13">
        <v>8.7826138999999998E-2</v>
      </c>
      <c r="AL146" s="13">
        <v>9.1437782999999995E-2</v>
      </c>
      <c r="AM146" s="13">
        <v>9.4105964E-2</v>
      </c>
      <c r="AN146" s="13">
        <v>9.6040689999999998E-2</v>
      </c>
      <c r="AO146" s="13">
        <v>0.236415605</v>
      </c>
      <c r="AP146" s="14">
        <v>-0.274416671</v>
      </c>
      <c r="AQ146" s="14">
        <v>0.72716333300000002</v>
      </c>
    </row>
    <row r="147" spans="1:43" hidden="1" x14ac:dyDescent="0.25">
      <c r="A147" s="15" t="s">
        <v>93</v>
      </c>
      <c r="B147" s="16" t="e">
        <f>VLOOKUP(Sheet1!D147,Sheet2!A144,1,FALSE)</f>
        <v>#N/A</v>
      </c>
      <c r="C147" s="15" t="s">
        <v>15</v>
      </c>
      <c r="D147" s="15" t="s">
        <v>19</v>
      </c>
      <c r="E147" s="16" t="s">
        <v>32</v>
      </c>
      <c r="F147" s="13">
        <v>3.3578961999999997E-2</v>
      </c>
      <c r="G147" s="13">
        <v>3.3657565E-2</v>
      </c>
      <c r="H147" s="13">
        <v>3.3642879000000001E-2</v>
      </c>
      <c r="I147" s="13">
        <v>3.3279069000000001E-2</v>
      </c>
      <c r="J147" s="13">
        <v>3.2851497E-2</v>
      </c>
      <c r="K147" s="13">
        <v>3.2500541000000001E-2</v>
      </c>
      <c r="L147" s="13">
        <v>3.2234176000000003E-2</v>
      </c>
      <c r="M147" s="13">
        <v>-3.9406446999999997E-2</v>
      </c>
      <c r="N147" s="13">
        <v>-3.6794085999999997E-2</v>
      </c>
      <c r="O147" s="13">
        <v>-4.0865907999999999E-2</v>
      </c>
      <c r="P147" s="13">
        <v>-4.5148388999999997E-2</v>
      </c>
      <c r="Q147" s="13">
        <v>-4.3769305000000001E-2</v>
      </c>
      <c r="R147" s="13">
        <v>-4.1480619000000003E-2</v>
      </c>
      <c r="S147" s="13">
        <v>-3.8911131000000002E-2</v>
      </c>
      <c r="T147" s="13">
        <v>0.112707292</v>
      </c>
      <c r="U147" s="13">
        <v>0.109623968</v>
      </c>
      <c r="V147" s="13">
        <v>0.11512262299999999</v>
      </c>
      <c r="W147" s="13">
        <v>0.117758366</v>
      </c>
      <c r="X147" s="13">
        <v>0.115804087</v>
      </c>
      <c r="Y147" s="13">
        <v>0.112625687</v>
      </c>
      <c r="Z147" s="13">
        <v>0.108223741</v>
      </c>
      <c r="AA147" s="13">
        <v>-2.0482027999999999E-2</v>
      </c>
      <c r="AB147" s="13">
        <v>-2.0849482999999999E-2</v>
      </c>
      <c r="AC147" s="13">
        <v>-2.9356257E-2</v>
      </c>
      <c r="AD147" s="13">
        <v>-3.5421108999999999E-2</v>
      </c>
      <c r="AE147" s="13">
        <v>-3.8778673999999999E-2</v>
      </c>
      <c r="AF147" s="13">
        <v>-3.8284277999999998E-2</v>
      </c>
      <c r="AG147" s="13">
        <v>-3.7390706000000003E-2</v>
      </c>
      <c r="AH147" s="13">
        <v>9.0623655999999997E-2</v>
      </c>
      <c r="AI147" s="13">
        <v>9.1198903999999997E-2</v>
      </c>
      <c r="AJ147" s="13">
        <v>0.100730943</v>
      </c>
      <c r="AK147" s="13">
        <v>0.106872285</v>
      </c>
      <c r="AL147" s="13">
        <v>0.10981972500000001</v>
      </c>
      <c r="AM147" s="13">
        <v>0.10849531499999999</v>
      </c>
      <c r="AN147" s="13">
        <v>0.106895041</v>
      </c>
      <c r="AO147" s="13">
        <v>0.16486157900000001</v>
      </c>
      <c r="AP147" s="14">
        <v>-0.25148722400000001</v>
      </c>
      <c r="AQ147" s="14">
        <v>0.57264735099999997</v>
      </c>
    </row>
    <row r="148" spans="1:43" hidden="1" x14ac:dyDescent="0.25">
      <c r="A148" s="15" t="s">
        <v>93</v>
      </c>
      <c r="B148" s="16" t="e">
        <f>VLOOKUP(Sheet1!D148,Sheet2!A145,1,FALSE)</f>
        <v>#N/A</v>
      </c>
      <c r="C148" s="15" t="s">
        <v>15</v>
      </c>
      <c r="D148" s="15" t="s">
        <v>54</v>
      </c>
      <c r="E148" s="16" t="s">
        <v>67</v>
      </c>
      <c r="F148" s="13">
        <v>4.6109333000000002E-2</v>
      </c>
      <c r="G148" s="13">
        <v>4.7583721000000002E-2</v>
      </c>
      <c r="H148" s="13">
        <v>5.0933487999999999E-2</v>
      </c>
      <c r="I148" s="13">
        <v>5.5346306999999997E-2</v>
      </c>
      <c r="J148" s="13">
        <v>5.8169588000000001E-2</v>
      </c>
      <c r="K148" s="13">
        <v>6.0017747000000003E-2</v>
      </c>
      <c r="L148" s="13">
        <v>6.1292324000000002E-2</v>
      </c>
      <c r="M148" s="13">
        <v>-2.4849184999999999E-2</v>
      </c>
      <c r="N148" s="13">
        <v>-1.6443169000000001E-2</v>
      </c>
      <c r="O148" s="13">
        <v>-8.2087089999999998E-3</v>
      </c>
      <c r="P148" s="13">
        <v>1.36663E-4</v>
      </c>
      <c r="Q148" s="13">
        <v>6.620361E-3</v>
      </c>
      <c r="R148" s="13">
        <v>1.1556163E-2</v>
      </c>
      <c r="S148" s="13">
        <v>1.6059876000000001E-2</v>
      </c>
      <c r="T148" s="13">
        <v>0.122832266</v>
      </c>
      <c r="U148" s="13">
        <v>0.115775588</v>
      </c>
      <c r="V148" s="13">
        <v>0.113966124</v>
      </c>
      <c r="W148" s="13">
        <v>0.11263000200000001</v>
      </c>
      <c r="X148" s="13">
        <v>0.11142665</v>
      </c>
      <c r="Y148" s="13">
        <v>0.110546854</v>
      </c>
      <c r="Z148" s="13">
        <v>0.109004146</v>
      </c>
      <c r="AA148" s="13">
        <v>5.940295E-3</v>
      </c>
      <c r="AB148" s="13">
        <v>7.9713430000000005E-3</v>
      </c>
      <c r="AC148" s="13">
        <v>1.1373247E-2</v>
      </c>
      <c r="AD148" s="13">
        <v>1.4838452E-2</v>
      </c>
      <c r="AE148" s="13">
        <v>1.8127771000000001E-2</v>
      </c>
      <c r="AF148" s="13">
        <v>2.1413899E-2</v>
      </c>
      <c r="AG148" s="13">
        <v>2.5457918999999999E-2</v>
      </c>
      <c r="AH148" s="13">
        <v>8.7882393000000003E-2</v>
      </c>
      <c r="AI148" s="13">
        <v>8.8752830000000005E-2</v>
      </c>
      <c r="AJ148" s="13">
        <v>9.2041143000000006E-2</v>
      </c>
      <c r="AK148" s="13">
        <v>9.7471057E-2</v>
      </c>
      <c r="AL148" s="13">
        <v>9.9786206000000002E-2</v>
      </c>
      <c r="AM148" s="13">
        <v>0.100080642</v>
      </c>
      <c r="AN148" s="13">
        <v>9.8378955000000004E-2</v>
      </c>
      <c r="AO148" s="13">
        <v>0.19328046500000001</v>
      </c>
      <c r="AP148" s="14">
        <v>-0.26733287300000003</v>
      </c>
      <c r="AQ148" s="14">
        <v>0.934758906</v>
      </c>
    </row>
    <row r="149" spans="1:43" hidden="1" x14ac:dyDescent="0.25">
      <c r="A149" s="15" t="s">
        <v>93</v>
      </c>
      <c r="B149" s="16" t="e">
        <f>VLOOKUP(Sheet1!D149,Sheet2!A146,1,FALSE)</f>
        <v>#N/A</v>
      </c>
      <c r="C149" s="15" t="s">
        <v>15</v>
      </c>
      <c r="D149" s="15" t="s">
        <v>94</v>
      </c>
      <c r="E149" s="16" t="s">
        <v>102</v>
      </c>
      <c r="F149" s="13">
        <v>4.6451547000000003E-2</v>
      </c>
      <c r="G149" s="13">
        <v>4.7686741999999997E-2</v>
      </c>
      <c r="H149" s="13">
        <v>5.0458368000000003E-2</v>
      </c>
      <c r="I149" s="13">
        <v>5.4046919999999998E-2</v>
      </c>
      <c r="J149" s="13">
        <v>5.6307021999999998E-2</v>
      </c>
      <c r="K149" s="13">
        <v>5.7773247E-2</v>
      </c>
      <c r="L149" s="13">
        <v>5.8779758000000001E-2</v>
      </c>
      <c r="M149" s="13">
        <v>-5.0102200000000001E-3</v>
      </c>
      <c r="N149" s="13">
        <v>2.696014E-3</v>
      </c>
      <c r="O149" s="13">
        <v>1.0480557999999999E-2</v>
      </c>
      <c r="P149" s="13">
        <v>1.8894883000000001E-2</v>
      </c>
      <c r="Q149" s="13">
        <v>2.4240004999999998E-2</v>
      </c>
      <c r="R149" s="13">
        <v>2.8284659E-2</v>
      </c>
      <c r="S149" s="13">
        <v>3.1442576E-2</v>
      </c>
      <c r="T149" s="13">
        <v>9.9903982000000002E-2</v>
      </c>
      <c r="U149" s="13">
        <v>9.4420885999999996E-2</v>
      </c>
      <c r="V149" s="13">
        <v>9.1966459E-2</v>
      </c>
      <c r="W149" s="13">
        <v>9.046419E-2</v>
      </c>
      <c r="X149" s="13">
        <v>8.9612821999999995E-2</v>
      </c>
      <c r="Y149" s="13">
        <v>8.8299244999999998E-2</v>
      </c>
      <c r="Z149" s="13">
        <v>8.7591803999999995E-2</v>
      </c>
      <c r="AA149" s="13">
        <v>2.5969948999999999E-2</v>
      </c>
      <c r="AB149" s="13">
        <v>2.8220127000000001E-2</v>
      </c>
      <c r="AC149" s="13">
        <v>3.0954414999999999E-2</v>
      </c>
      <c r="AD149" s="13">
        <v>3.2621590999999998E-2</v>
      </c>
      <c r="AE149" s="13">
        <v>3.6456454999999999E-2</v>
      </c>
      <c r="AF149" s="13">
        <v>3.8430372999999997E-2</v>
      </c>
      <c r="AG149" s="13">
        <v>3.9613795E-2</v>
      </c>
      <c r="AH149" s="13">
        <v>6.7342025999999999E-2</v>
      </c>
      <c r="AI149" s="13">
        <v>6.7521904999999993E-2</v>
      </c>
      <c r="AJ149" s="13">
        <v>7.0331303999999997E-2</v>
      </c>
      <c r="AK149" s="13">
        <v>7.5916790999999997E-2</v>
      </c>
      <c r="AL149" s="13">
        <v>7.6537774000000003E-2</v>
      </c>
      <c r="AM149" s="13">
        <v>7.7476421000000004E-2</v>
      </c>
      <c r="AN149" s="13">
        <v>7.8299059000000004E-2</v>
      </c>
      <c r="AO149" s="13">
        <v>0.152715514</v>
      </c>
      <c r="AP149" s="14">
        <v>-0.234075542</v>
      </c>
      <c r="AQ149" s="14">
        <v>1</v>
      </c>
    </row>
    <row r="150" spans="1:43" hidden="1" x14ac:dyDescent="0.25">
      <c r="A150" s="15" t="s">
        <v>93</v>
      </c>
      <c r="B150" s="16" t="e">
        <f>VLOOKUP(Sheet1!D150,Sheet2!A147,1,FALSE)</f>
        <v>#N/A</v>
      </c>
      <c r="C150" s="15" t="s">
        <v>15</v>
      </c>
      <c r="D150" s="15" t="s">
        <v>171</v>
      </c>
      <c r="E150" s="16" t="s">
        <v>164</v>
      </c>
      <c r="F150" s="13">
        <v>4.8268980000000003E-2</v>
      </c>
      <c r="G150" s="13">
        <v>4.7986451999999999E-2</v>
      </c>
      <c r="H150" s="13">
        <v>4.7100230999999999E-2</v>
      </c>
      <c r="I150" s="13">
        <v>4.5499149000000003E-2</v>
      </c>
      <c r="J150" s="13">
        <v>4.4230429000000002E-2</v>
      </c>
      <c r="K150" s="13">
        <v>4.3311231999999998E-2</v>
      </c>
      <c r="L150" s="13">
        <v>4.2647221999999999E-2</v>
      </c>
      <c r="M150" s="13">
        <v>-9.1932884000000006E-2</v>
      </c>
      <c r="N150" s="13">
        <v>-8.8760345000000004E-2</v>
      </c>
      <c r="O150" s="13">
        <v>-9.6702577999999997E-2</v>
      </c>
      <c r="P150" s="13">
        <v>-0.10368358499999999</v>
      </c>
      <c r="Q150" s="13">
        <v>-0.102940951</v>
      </c>
      <c r="R150" s="13">
        <v>-9.9011523000000004E-2</v>
      </c>
      <c r="S150" s="13">
        <v>-9.2994503000000006E-2</v>
      </c>
      <c r="T150" s="13">
        <v>0.20916011200000001</v>
      </c>
      <c r="U150" s="13">
        <v>0.20246171399999999</v>
      </c>
      <c r="V150" s="13">
        <v>0.21187410200000001</v>
      </c>
      <c r="W150" s="13">
        <v>0.22056573700000001</v>
      </c>
      <c r="X150" s="13">
        <v>0.21701368200000001</v>
      </c>
      <c r="Y150" s="13">
        <v>0.20820834299999999</v>
      </c>
      <c r="Z150" s="13">
        <v>0.19869462800000001</v>
      </c>
      <c r="AA150" s="13">
        <v>-5.2299382999999998E-2</v>
      </c>
      <c r="AB150" s="13">
        <v>-5.8153466000000001E-2</v>
      </c>
      <c r="AC150" s="13">
        <v>-7.8145512E-2</v>
      </c>
      <c r="AD150" s="13">
        <v>-9.2243504000000004E-2</v>
      </c>
      <c r="AE150" s="13">
        <v>-9.8349469999999994E-2</v>
      </c>
      <c r="AF150" s="13">
        <v>-0.100373929</v>
      </c>
      <c r="AG150" s="13">
        <v>-9.5012124000000003E-2</v>
      </c>
      <c r="AH150" s="13">
        <v>0.15950950699999999</v>
      </c>
      <c r="AI150" s="13">
        <v>0.16608771</v>
      </c>
      <c r="AJ150" s="13">
        <v>0.189362261</v>
      </c>
      <c r="AK150" s="13">
        <v>0.204142831</v>
      </c>
      <c r="AL150" s="13">
        <v>0.20935684299999999</v>
      </c>
      <c r="AM150" s="13">
        <v>0.20994529100000001</v>
      </c>
      <c r="AN150" s="13">
        <v>0.201246181</v>
      </c>
      <c r="AO150" s="13">
        <v>0.33274324900000002</v>
      </c>
      <c r="AP150" s="14">
        <v>-0.1865146</v>
      </c>
      <c r="AQ150" s="14">
        <v>0.36613089199999999</v>
      </c>
    </row>
    <row r="151" spans="1:43" hidden="1" x14ac:dyDescent="0.25">
      <c r="A151" s="15" t="s">
        <v>93</v>
      </c>
      <c r="B151" s="16" t="e">
        <f>VLOOKUP(Sheet1!D151,Sheet2!A148,1,FALSE)</f>
        <v>#N/A</v>
      </c>
      <c r="C151" s="15" t="s">
        <v>15</v>
      </c>
      <c r="D151" s="15" t="s">
        <v>170</v>
      </c>
      <c r="E151" s="16" t="s">
        <v>165</v>
      </c>
      <c r="F151" s="13">
        <v>3.7818826E-2</v>
      </c>
      <c r="G151" s="13">
        <v>4.1009565999999997E-2</v>
      </c>
      <c r="H151" s="13">
        <v>4.8522463000000002E-2</v>
      </c>
      <c r="I151" s="13">
        <v>5.8905560000000003E-2</v>
      </c>
      <c r="J151" s="13">
        <v>6.5831157000000001E-2</v>
      </c>
      <c r="K151" s="13">
        <v>7.0471967999999996E-2</v>
      </c>
      <c r="L151" s="13">
        <v>7.3711628000000001E-2</v>
      </c>
      <c r="M151" s="13">
        <v>-7.1755771999999995E-2</v>
      </c>
      <c r="N151" s="13">
        <v>-6.1148060999999997E-2</v>
      </c>
      <c r="O151" s="13">
        <v>-4.7825816E-2</v>
      </c>
      <c r="P151" s="13">
        <v>-3.2042149999999998E-2</v>
      </c>
      <c r="Q151" s="13">
        <v>-2.1424627000000002E-2</v>
      </c>
      <c r="R151" s="13">
        <v>-1.2736182E-2</v>
      </c>
      <c r="S151" s="13">
        <v>-5.5729539999999998E-3</v>
      </c>
      <c r="T151" s="13">
        <v>0.16198119499999999</v>
      </c>
      <c r="U151" s="13">
        <v>0.15243318</v>
      </c>
      <c r="V151" s="13">
        <v>0.154232639</v>
      </c>
      <c r="W151" s="13">
        <v>0.157192003</v>
      </c>
      <c r="X151" s="13">
        <v>0.16002491699999999</v>
      </c>
      <c r="Y151" s="13">
        <v>0.16014921800000001</v>
      </c>
      <c r="Z151" s="13">
        <v>0.15898466</v>
      </c>
      <c r="AA151" s="13">
        <v>-3.1376184000000001E-2</v>
      </c>
      <c r="AB151" s="13">
        <v>-2.9254981999999999E-2</v>
      </c>
      <c r="AC151" s="13">
        <v>-2.7617494999999999E-2</v>
      </c>
      <c r="AD151" s="13">
        <v>-1.7947543E-2</v>
      </c>
      <c r="AE151" s="13">
        <v>-1.2699999999999999E-2</v>
      </c>
      <c r="AF151" s="13">
        <v>-6.4639279999999999E-3</v>
      </c>
      <c r="AG151" s="13">
        <v>7.2046899999999995E-4</v>
      </c>
      <c r="AH151" s="13">
        <v>0.111956879</v>
      </c>
      <c r="AI151" s="13">
        <v>0.116360058</v>
      </c>
      <c r="AJ151" s="13">
        <v>0.13062436899999999</v>
      </c>
      <c r="AK151" s="13">
        <v>0.14177300900000001</v>
      </c>
      <c r="AL151" s="13">
        <v>0.15058078899999999</v>
      </c>
      <c r="AM151" s="13">
        <v>0.15336551200000001</v>
      </c>
      <c r="AN151" s="13">
        <v>0.15202666200000001</v>
      </c>
      <c r="AO151" s="13">
        <v>0.298798642</v>
      </c>
      <c r="AP151" s="14">
        <v>-0.24801387999999999</v>
      </c>
      <c r="AQ151" s="14">
        <v>0.51888927900000004</v>
      </c>
    </row>
    <row r="152" spans="1:43" hidden="1" x14ac:dyDescent="0.25">
      <c r="A152" s="15" t="s">
        <v>93</v>
      </c>
      <c r="B152" s="16" t="e">
        <f>VLOOKUP(Sheet1!D152,Sheet2!A149,1,FALSE)</f>
        <v>#N/A</v>
      </c>
      <c r="C152" s="15" t="s">
        <v>20</v>
      </c>
      <c r="D152" s="15" t="s">
        <v>22</v>
      </c>
      <c r="E152" s="16" t="s">
        <v>41</v>
      </c>
      <c r="F152" s="13">
        <v>1.7294965999999998E-2</v>
      </c>
      <c r="G152" s="13">
        <v>1.7470275E-2</v>
      </c>
      <c r="H152" s="13">
        <v>1.7691584999999999E-2</v>
      </c>
      <c r="I152" s="13">
        <v>1.7667318000000001E-2</v>
      </c>
      <c r="J152" s="13">
        <v>1.7473013999999999E-2</v>
      </c>
      <c r="K152" s="13">
        <v>1.7280515E-2</v>
      </c>
      <c r="L152" s="13">
        <v>1.7125343000000001E-2</v>
      </c>
      <c r="M152" s="13">
        <v>-2.4957756000000001E-2</v>
      </c>
      <c r="N152" s="13">
        <v>-2.0431225000000001E-2</v>
      </c>
      <c r="O152" s="13">
        <v>-1.6872048000000001E-2</v>
      </c>
      <c r="P152" s="13">
        <v>-1.3169470000000001E-2</v>
      </c>
      <c r="Q152" s="13">
        <v>-1.0868005E-2</v>
      </c>
      <c r="R152" s="13">
        <v>-9.0525599999999994E-3</v>
      </c>
      <c r="S152" s="13">
        <v>-7.4802389999999996E-3</v>
      </c>
      <c r="T152" s="13">
        <v>6.1506847000000003E-2</v>
      </c>
      <c r="U152" s="13">
        <v>5.7238667E-2</v>
      </c>
      <c r="V152" s="13">
        <v>5.3306132999999999E-2</v>
      </c>
      <c r="W152" s="13">
        <v>4.9671788000000001E-2</v>
      </c>
      <c r="X152" s="13">
        <v>4.6736726999999999E-2</v>
      </c>
      <c r="Y152" s="13">
        <v>4.4390091999999999E-2</v>
      </c>
      <c r="Z152" s="13">
        <v>4.2169049E-2</v>
      </c>
      <c r="AA152" s="13">
        <v>-6.1599790000000003E-3</v>
      </c>
      <c r="AB152" s="13">
        <v>-5.175659E-3</v>
      </c>
      <c r="AC152" s="13">
        <v>-6.2039629999999998E-3</v>
      </c>
      <c r="AD152" s="13">
        <v>-4.6636159999999998E-3</v>
      </c>
      <c r="AE152" s="13">
        <v>-4.3174049999999999E-3</v>
      </c>
      <c r="AF152" s="13">
        <v>-3.4844609999999999E-3</v>
      </c>
      <c r="AG152" s="13">
        <v>-3.2991679999999999E-3</v>
      </c>
      <c r="AH152" s="13">
        <v>4.1303455000000003E-2</v>
      </c>
      <c r="AI152" s="13">
        <v>4.0631714999999999E-2</v>
      </c>
      <c r="AJ152" s="13">
        <v>4.2161694E-2</v>
      </c>
      <c r="AK152" s="13">
        <v>4.0499261000000002E-2</v>
      </c>
      <c r="AL152" s="13">
        <v>3.9740314999999998E-2</v>
      </c>
      <c r="AM152" s="13">
        <v>3.8478231000000002E-2</v>
      </c>
      <c r="AN152" s="13">
        <v>3.7968397000000001E-2</v>
      </c>
      <c r="AO152" s="13">
        <v>0.11543453200000001</v>
      </c>
      <c r="AP152" s="14">
        <v>-0.19509944700000001</v>
      </c>
      <c r="AQ152" s="14">
        <v>0.55204558199999998</v>
      </c>
    </row>
    <row r="153" spans="1:43" hidden="1" x14ac:dyDescent="0.25">
      <c r="A153" s="15" t="s">
        <v>93</v>
      </c>
      <c r="B153" s="16" t="e">
        <f>VLOOKUP(Sheet1!D153,Sheet2!A150,1,FALSE)</f>
        <v>#N/A</v>
      </c>
      <c r="C153" s="15" t="s">
        <v>20</v>
      </c>
      <c r="D153" s="15" t="s">
        <v>95</v>
      </c>
      <c r="E153" s="16" t="s">
        <v>103</v>
      </c>
      <c r="F153" s="13">
        <v>-2.9747129999999999E-3</v>
      </c>
      <c r="G153" s="13">
        <v>-1.9823200000000001E-3</v>
      </c>
      <c r="H153" s="13">
        <v>2.1291800000000001E-4</v>
      </c>
      <c r="I153" s="13">
        <v>2.9976949999999999E-3</v>
      </c>
      <c r="J153" s="13">
        <v>4.7182379999999996E-3</v>
      </c>
      <c r="K153" s="13">
        <v>5.8219370000000001E-3</v>
      </c>
      <c r="L153" s="13">
        <v>6.5751899999999999E-3</v>
      </c>
      <c r="M153" s="13">
        <v>-1.3265657E-2</v>
      </c>
      <c r="N153" s="13">
        <v>-1.2216892E-2</v>
      </c>
      <c r="O153" s="13">
        <v>-1.2463929E-2</v>
      </c>
      <c r="P153" s="13">
        <v>-1.1968937000000001E-2</v>
      </c>
      <c r="Q153" s="13">
        <v>-1.0506247E-2</v>
      </c>
      <c r="R153" s="13">
        <v>-9.4408970000000002E-3</v>
      </c>
      <c r="S153" s="13">
        <v>-8.0760459999999999E-3</v>
      </c>
      <c r="T153" s="13">
        <v>7.4071179999999999E-3</v>
      </c>
      <c r="U153" s="13">
        <v>8.4919890000000001E-3</v>
      </c>
      <c r="V153" s="13">
        <v>1.3005760999999999E-2</v>
      </c>
      <c r="W153" s="13">
        <v>1.8117940999999999E-2</v>
      </c>
      <c r="X153" s="13">
        <v>2.016654E-2</v>
      </c>
      <c r="Y153" s="13">
        <v>2.1251355999999999E-2</v>
      </c>
      <c r="Z153" s="13">
        <v>2.1482126000000001E-2</v>
      </c>
      <c r="AA153" s="13">
        <v>-8.9501089999999995E-3</v>
      </c>
      <c r="AB153" s="13">
        <v>-9.1992689999999995E-3</v>
      </c>
      <c r="AC153" s="13">
        <v>-1.0515912000000001E-2</v>
      </c>
      <c r="AD153" s="13">
        <v>-1.0039717E-2</v>
      </c>
      <c r="AE153" s="13">
        <v>-9.4881449999999999E-3</v>
      </c>
      <c r="AF153" s="13">
        <v>-8.5898980000000003E-3</v>
      </c>
      <c r="AG153" s="13">
        <v>-7.4822539999999998E-3</v>
      </c>
      <c r="AH153" s="13">
        <v>3.0367110000000001E-3</v>
      </c>
      <c r="AI153" s="13">
        <v>5.2871970000000004E-3</v>
      </c>
      <c r="AJ153" s="13">
        <v>1.1058078000000001E-2</v>
      </c>
      <c r="AK153" s="13">
        <v>1.6206807E-2</v>
      </c>
      <c r="AL153" s="13">
        <v>1.9128375E-2</v>
      </c>
      <c r="AM153" s="13">
        <v>2.0443282E-2</v>
      </c>
      <c r="AN153" s="13">
        <v>2.0831738999999998E-2</v>
      </c>
      <c r="AO153" s="13">
        <v>2.7946812000000001E-2</v>
      </c>
      <c r="AP153" s="14">
        <v>0.176835562</v>
      </c>
      <c r="AQ153" s="14">
        <v>-4.9578957E-2</v>
      </c>
    </row>
    <row r="154" spans="1:43" hidden="1" x14ac:dyDescent="0.25">
      <c r="A154" s="15" t="s">
        <v>93</v>
      </c>
      <c r="B154" s="16" t="e">
        <f>VLOOKUP(Sheet1!D154,Sheet2!A151,1,FALSE)</f>
        <v>#N/A</v>
      </c>
      <c r="C154" s="15" t="s">
        <v>20</v>
      </c>
      <c r="D154" s="15" t="s">
        <v>96</v>
      </c>
      <c r="E154" s="16" t="s">
        <v>104</v>
      </c>
      <c r="F154" s="13">
        <v>-9.8270479999999997E-3</v>
      </c>
      <c r="G154" s="13">
        <v>-8.4108889999999995E-3</v>
      </c>
      <c r="H154" s="13">
        <v>-5.1904120000000002E-3</v>
      </c>
      <c r="I154" s="13">
        <v>-9.4247299999999999E-4</v>
      </c>
      <c r="J154" s="13">
        <v>1.7784369999999999E-3</v>
      </c>
      <c r="K154" s="13">
        <v>3.560742E-3</v>
      </c>
      <c r="L154" s="13">
        <v>4.7903119999999997E-3</v>
      </c>
      <c r="M154" s="13">
        <v>-2.2408134E-2</v>
      </c>
      <c r="N154" s="13">
        <v>-2.0658246000000002E-2</v>
      </c>
      <c r="O154" s="13">
        <v>-1.9024441999999999E-2</v>
      </c>
      <c r="P154" s="13">
        <v>-1.6382453000000002E-2</v>
      </c>
      <c r="Q154" s="13">
        <v>-1.3614059E-2</v>
      </c>
      <c r="R154" s="13">
        <v>-1.1628009999999999E-2</v>
      </c>
      <c r="S154" s="13">
        <v>-9.8463430000000005E-3</v>
      </c>
      <c r="T154" s="13">
        <v>3.1154529999999998E-3</v>
      </c>
      <c r="U154" s="13">
        <v>4.1159569999999999E-3</v>
      </c>
      <c r="V154" s="13">
        <v>8.9529029999999999E-3</v>
      </c>
      <c r="W154" s="13">
        <v>1.4770584E-2</v>
      </c>
      <c r="X154" s="13">
        <v>1.7544784000000001E-2</v>
      </c>
      <c r="Y154" s="13">
        <v>1.8999149E-2</v>
      </c>
      <c r="Z154" s="13">
        <v>1.9630128E-2</v>
      </c>
      <c r="AA154" s="13">
        <v>-1.8833602000000001E-2</v>
      </c>
      <c r="AB154" s="13">
        <v>-1.8116205999999999E-2</v>
      </c>
      <c r="AC154" s="13">
        <v>-1.7439212999999999E-2</v>
      </c>
      <c r="AD154" s="13">
        <v>-1.5389975E-2</v>
      </c>
      <c r="AE154" s="13">
        <v>-1.2928495999999999E-2</v>
      </c>
      <c r="AF154" s="13">
        <v>-1.0159016999999999E-2</v>
      </c>
      <c r="AG154" s="13">
        <v>-8.8726699999999992E-3</v>
      </c>
      <c r="AH154" s="13">
        <v>-7.3800000000000005E-4</v>
      </c>
      <c r="AI154" s="13">
        <v>1.390358E-3</v>
      </c>
      <c r="AJ154" s="13">
        <v>7.2110840000000004E-3</v>
      </c>
      <c r="AK154" s="13">
        <v>1.3717023E-2</v>
      </c>
      <c r="AL154" s="13">
        <v>1.6704495999999999E-2</v>
      </c>
      <c r="AM154" s="13">
        <v>1.7470665E-2</v>
      </c>
      <c r="AN154" s="13">
        <v>1.8641642E-2</v>
      </c>
      <c r="AO154" s="13">
        <v>3.0236239000000002E-2</v>
      </c>
      <c r="AP154" s="14">
        <v>0.45856917400000002</v>
      </c>
      <c r="AQ154" s="14">
        <v>-0.13081479700000001</v>
      </c>
    </row>
    <row r="155" spans="1:43" hidden="1" x14ac:dyDescent="0.25">
      <c r="A155" s="15" t="s">
        <v>93</v>
      </c>
      <c r="B155" s="16" t="e">
        <f>VLOOKUP(Sheet1!D155,Sheet2!A152,1,FALSE)</f>
        <v>#N/A</v>
      </c>
      <c r="C155" s="15" t="s">
        <v>20</v>
      </c>
      <c r="D155" s="15" t="s">
        <v>97</v>
      </c>
      <c r="E155" s="16" t="s">
        <v>105</v>
      </c>
      <c r="F155" s="13">
        <v>-1.0181758000000001E-2</v>
      </c>
      <c r="G155" s="13">
        <v>-8.7442119999999995E-3</v>
      </c>
      <c r="H155" s="13">
        <v>-5.4719479999999999E-3</v>
      </c>
      <c r="I155" s="13">
        <v>-1.149997E-3</v>
      </c>
      <c r="J155" s="13">
        <v>1.6215820000000001E-3</v>
      </c>
      <c r="K155" s="13">
        <v>3.4382900000000001E-3</v>
      </c>
      <c r="L155" s="13">
        <v>4.692023E-3</v>
      </c>
      <c r="M155" s="13">
        <v>-2.3088853999999999E-2</v>
      </c>
      <c r="N155" s="13">
        <v>-2.1339121999999999E-2</v>
      </c>
      <c r="O155" s="13">
        <v>-1.9655865000000002E-2</v>
      </c>
      <c r="P155" s="13">
        <v>-1.6983488000000001E-2</v>
      </c>
      <c r="Q155" s="13">
        <v>-1.4115904E-2</v>
      </c>
      <c r="R155" s="13">
        <v>-1.2082581E-2</v>
      </c>
      <c r="S155" s="13">
        <v>-1.0259976000000001E-2</v>
      </c>
      <c r="T155" s="13">
        <v>3.1112010000000001E-3</v>
      </c>
      <c r="U155" s="13">
        <v>4.1193369999999998E-3</v>
      </c>
      <c r="V155" s="13">
        <v>9.0763930000000003E-3</v>
      </c>
      <c r="W155" s="13">
        <v>1.4942884E-2</v>
      </c>
      <c r="X155" s="13">
        <v>1.7754565999999999E-2</v>
      </c>
      <c r="Y155" s="13">
        <v>1.9292523999999998E-2</v>
      </c>
      <c r="Z155" s="13">
        <v>1.9860386000000001E-2</v>
      </c>
      <c r="AA155" s="13">
        <v>-1.9169048000000001E-2</v>
      </c>
      <c r="AB155" s="13">
        <v>-1.8758605000000001E-2</v>
      </c>
      <c r="AC155" s="13">
        <v>-1.8141296000000001E-2</v>
      </c>
      <c r="AD155" s="13">
        <v>-1.5743989999999999E-2</v>
      </c>
      <c r="AE155" s="13">
        <v>-1.3562438E-2</v>
      </c>
      <c r="AF155" s="13">
        <v>-1.0583413999999999E-2</v>
      </c>
      <c r="AG155" s="13">
        <v>-9.1275230000000002E-3</v>
      </c>
      <c r="AH155" s="13">
        <v>-1.112119E-3</v>
      </c>
      <c r="AI155" s="13">
        <v>1.372386E-3</v>
      </c>
      <c r="AJ155" s="13">
        <v>7.3608789999999999E-3</v>
      </c>
      <c r="AK155" s="13">
        <v>1.3660398000000001E-2</v>
      </c>
      <c r="AL155" s="13">
        <v>1.7039327E-2</v>
      </c>
      <c r="AM155" s="13">
        <v>1.7658707999999999E-2</v>
      </c>
      <c r="AN155" s="13">
        <v>1.8704308999999999E-2</v>
      </c>
      <c r="AO155" s="13">
        <v>3.0968969999999998E-2</v>
      </c>
      <c r="AP155" s="14">
        <v>0.46001714399999999</v>
      </c>
      <c r="AQ155" s="14">
        <v>-0.13051131099999999</v>
      </c>
    </row>
    <row r="156" spans="1:43" hidden="1" x14ac:dyDescent="0.25">
      <c r="A156" s="15" t="s">
        <v>93</v>
      </c>
      <c r="B156" s="16" t="e">
        <f>VLOOKUP(Sheet1!D156,Sheet2!A153,1,FALSE)</f>
        <v>#N/A</v>
      </c>
      <c r="C156" s="15" t="s">
        <v>20</v>
      </c>
      <c r="D156" s="15" t="s">
        <v>98</v>
      </c>
      <c r="E156" s="16" t="s">
        <v>106</v>
      </c>
      <c r="F156" s="13">
        <v>9.8299159999999993E-3</v>
      </c>
      <c r="G156" s="13">
        <v>1.0258976E-2</v>
      </c>
      <c r="H156" s="13">
        <v>1.1092935999999999E-2</v>
      </c>
      <c r="I156" s="13">
        <v>1.1939461E-2</v>
      </c>
      <c r="J156" s="13">
        <v>1.2337992000000001E-2</v>
      </c>
      <c r="K156" s="13">
        <v>1.2546422999999999E-2</v>
      </c>
      <c r="L156" s="13">
        <v>1.2672050000000001E-2</v>
      </c>
      <c r="M156" s="13">
        <v>-9.943861E-3</v>
      </c>
      <c r="N156" s="13">
        <v>-9.3096889999999995E-3</v>
      </c>
      <c r="O156" s="13">
        <v>-1.0625635E-2</v>
      </c>
      <c r="P156" s="13">
        <v>-1.2176688E-2</v>
      </c>
      <c r="Q156" s="13">
        <v>-1.1888289999999999E-2</v>
      </c>
      <c r="R156" s="13">
        <v>-1.0800980999999999E-2</v>
      </c>
      <c r="S156" s="13">
        <v>-9.8916939999999995E-3</v>
      </c>
      <c r="T156" s="13">
        <v>3.0012885999999999E-2</v>
      </c>
      <c r="U156" s="13">
        <v>3.0389085E-2</v>
      </c>
      <c r="V156" s="13">
        <v>3.3449092999999999E-2</v>
      </c>
      <c r="W156" s="13">
        <v>3.6348921999999999E-2</v>
      </c>
      <c r="X156" s="13">
        <v>3.7120909000000001E-2</v>
      </c>
      <c r="Y156" s="13">
        <v>3.6665682999999998E-2</v>
      </c>
      <c r="Z156" s="13">
        <v>3.5612303999999997E-2</v>
      </c>
      <c r="AA156" s="13">
        <v>-3.9328829999999999E-3</v>
      </c>
      <c r="AB156" s="13">
        <v>-5.9094020000000002E-3</v>
      </c>
      <c r="AC156" s="13">
        <v>-9.6374479999999998E-3</v>
      </c>
      <c r="AD156" s="13">
        <v>-1.1407572E-2</v>
      </c>
      <c r="AE156" s="13">
        <v>-1.0659930999999999E-2</v>
      </c>
      <c r="AF156" s="13">
        <v>-9.9622800000000004E-3</v>
      </c>
      <c r="AG156" s="13">
        <v>-8.7457969999999996E-3</v>
      </c>
      <c r="AH156" s="13">
        <v>2.3782879E-2</v>
      </c>
      <c r="AI156" s="13">
        <v>2.6690328999999999E-2</v>
      </c>
      <c r="AJ156" s="13">
        <v>3.2257253E-2</v>
      </c>
      <c r="AK156" s="13">
        <v>3.5837868000000002E-2</v>
      </c>
      <c r="AL156" s="13">
        <v>3.5870518999999997E-2</v>
      </c>
      <c r="AM156" s="13">
        <v>3.5566865000000003E-2</v>
      </c>
      <c r="AN156" s="13">
        <v>3.4552695000000001E-2</v>
      </c>
      <c r="AO156" s="13">
        <v>4.3574531999999999E-2</v>
      </c>
      <c r="AP156" s="14">
        <v>-3.3271968999999998E-2</v>
      </c>
      <c r="AQ156" s="14">
        <v>0.36704119000000002</v>
      </c>
    </row>
    <row r="157" spans="1:43" hidden="1" x14ac:dyDescent="0.25">
      <c r="A157" s="15" t="s">
        <v>93</v>
      </c>
      <c r="B157" s="16" t="e">
        <f>VLOOKUP(Sheet1!D157,Sheet2!A154,1,FALSE)</f>
        <v>#N/A</v>
      </c>
      <c r="C157" s="15" t="s">
        <v>20</v>
      </c>
      <c r="D157" s="15" t="s">
        <v>99</v>
      </c>
      <c r="E157" s="16" t="s">
        <v>107</v>
      </c>
      <c r="F157" s="13">
        <v>-1.9723517999999999E-2</v>
      </c>
      <c r="G157" s="13">
        <v>-1.7721371999999999E-2</v>
      </c>
      <c r="H157" s="13">
        <v>-1.3080516E-2</v>
      </c>
      <c r="I157" s="13">
        <v>-6.7990790000000004E-3</v>
      </c>
      <c r="J157" s="13">
        <v>-2.6835800000000001E-3</v>
      </c>
      <c r="K157" s="13">
        <v>4.6699999999999997E-5</v>
      </c>
      <c r="L157" s="13">
        <v>1.9426230000000001E-3</v>
      </c>
      <c r="M157" s="13">
        <v>-4.7247248999999998E-2</v>
      </c>
      <c r="N157" s="13">
        <v>-4.3782297999999997E-2</v>
      </c>
      <c r="O157" s="13">
        <v>-4.1573550000000001E-2</v>
      </c>
      <c r="P157" s="13">
        <v>-3.7669506999999998E-2</v>
      </c>
      <c r="Q157" s="13">
        <v>-3.3691906000000001E-2</v>
      </c>
      <c r="R157" s="13">
        <v>-3.0139754000000001E-2</v>
      </c>
      <c r="S157" s="13">
        <v>-2.7360599999999999E-2</v>
      </c>
      <c r="T157" s="13">
        <v>8.6176929999999992E-3</v>
      </c>
      <c r="U157" s="13">
        <v>9.3743609999999995E-3</v>
      </c>
      <c r="V157" s="13">
        <v>1.6464565E-2</v>
      </c>
      <c r="W157" s="13">
        <v>2.5081402999999999E-2</v>
      </c>
      <c r="X157" s="13">
        <v>2.9450480000000001E-2</v>
      </c>
      <c r="Y157" s="13">
        <v>3.1710378999999997E-2</v>
      </c>
      <c r="Z157" s="13">
        <v>3.2112103000000003E-2</v>
      </c>
      <c r="AA157" s="13">
        <v>-4.1085381999999997E-2</v>
      </c>
      <c r="AB157" s="13">
        <v>-3.9412028000000002E-2</v>
      </c>
      <c r="AC157" s="13">
        <v>-3.8535087000000003E-2</v>
      </c>
      <c r="AD157" s="13">
        <v>-3.6210847999999997E-2</v>
      </c>
      <c r="AE157" s="13">
        <v>-3.1474240000000001E-2</v>
      </c>
      <c r="AF157" s="13">
        <v>-2.7740582E-2</v>
      </c>
      <c r="AG157" s="13">
        <v>-2.4993682999999999E-2</v>
      </c>
      <c r="AH157" s="13">
        <v>2.1142259999999999E-3</v>
      </c>
      <c r="AI157" s="13">
        <v>4.4590740000000004E-3</v>
      </c>
      <c r="AJ157" s="13">
        <v>1.3047960000000001E-2</v>
      </c>
      <c r="AK157" s="13">
        <v>2.3510243E-2</v>
      </c>
      <c r="AL157" s="13">
        <v>2.6962929E-2</v>
      </c>
      <c r="AM157" s="13">
        <v>2.8628176000000002E-2</v>
      </c>
      <c r="AN157" s="13">
        <v>2.9623107999999999E-2</v>
      </c>
      <c r="AO157" s="13">
        <v>6.1223488E-2</v>
      </c>
      <c r="AP157" s="14">
        <v>0.45542708300000001</v>
      </c>
      <c r="AQ157" s="14">
        <v>-0.121084845</v>
      </c>
    </row>
    <row r="158" spans="1:43" hidden="1" x14ac:dyDescent="0.25">
      <c r="A158" s="15" t="s">
        <v>93</v>
      </c>
      <c r="B158" s="16" t="e">
        <f>VLOOKUP(Sheet1!D158,Sheet2!A155,1,FALSE)</f>
        <v>#N/A</v>
      </c>
      <c r="C158" s="15" t="s">
        <v>20</v>
      </c>
      <c r="D158" s="15" t="s">
        <v>21</v>
      </c>
      <c r="E158" s="16" t="s">
        <v>39</v>
      </c>
      <c r="F158" s="13">
        <v>2.2458564E-2</v>
      </c>
      <c r="G158" s="13">
        <v>2.3687577000000001E-2</v>
      </c>
      <c r="H158" s="13">
        <v>2.6449141999999998E-2</v>
      </c>
      <c r="I158" s="13">
        <v>3.0031615000000001E-2</v>
      </c>
      <c r="J158" s="13">
        <v>3.2291924999999999E-2</v>
      </c>
      <c r="K158" s="13">
        <v>3.3759799E-2</v>
      </c>
      <c r="L158" s="13">
        <v>3.4767978999999997E-2</v>
      </c>
      <c r="M158" s="13">
        <v>-2.0210842E-2</v>
      </c>
      <c r="N158" s="13">
        <v>-1.6762230999999999E-2</v>
      </c>
      <c r="O158" s="13">
        <v>-1.3609078E-2</v>
      </c>
      <c r="P158" s="13">
        <v>-9.2108050000000007E-3</v>
      </c>
      <c r="Q158" s="13">
        <v>-5.8455809999999999E-3</v>
      </c>
      <c r="R158" s="13">
        <v>-3.0317040000000001E-3</v>
      </c>
      <c r="S158" s="13">
        <v>-2.65593E-4</v>
      </c>
      <c r="T158" s="13">
        <v>6.7681535000000001E-2</v>
      </c>
      <c r="U158" s="13">
        <v>6.5845114999999996E-2</v>
      </c>
      <c r="V158" s="13">
        <v>6.7571284999999995E-2</v>
      </c>
      <c r="W158" s="13">
        <v>7.0886524000000006E-2</v>
      </c>
      <c r="X158" s="13">
        <v>7.1900334999999996E-2</v>
      </c>
      <c r="Y158" s="13">
        <v>7.1998847000000005E-2</v>
      </c>
      <c r="Z158" s="13">
        <v>7.1142377000000007E-2</v>
      </c>
      <c r="AA158" s="13">
        <v>-8.0814589999999992E-3</v>
      </c>
      <c r="AB158" s="13">
        <v>-8.2287339999999997E-3</v>
      </c>
      <c r="AC158" s="13">
        <v>-8.8909049999999993E-3</v>
      </c>
      <c r="AD158" s="13">
        <v>-5.8244719999999998E-3</v>
      </c>
      <c r="AE158" s="13">
        <v>-2.19096E-3</v>
      </c>
      <c r="AF158" s="13">
        <v>9.6040700000000004E-4</v>
      </c>
      <c r="AG158" s="13">
        <v>3.2634610000000001E-3</v>
      </c>
      <c r="AH158" s="13">
        <v>5.3938878000000003E-2</v>
      </c>
      <c r="AI158" s="13">
        <v>5.6630989999999999E-2</v>
      </c>
      <c r="AJ158" s="13">
        <v>6.3049313999999995E-2</v>
      </c>
      <c r="AK158" s="13">
        <v>6.7180894000000005E-2</v>
      </c>
      <c r="AL158" s="13">
        <v>6.7966499E-2</v>
      </c>
      <c r="AM158" s="13">
        <v>6.7633968000000003E-2</v>
      </c>
      <c r="AN158" s="13">
        <v>6.7261816000000002E-2</v>
      </c>
      <c r="AO158" s="13">
        <v>0.103278991</v>
      </c>
      <c r="AP158" s="14">
        <v>0.33885504300000002</v>
      </c>
      <c r="AQ158" s="14">
        <v>0.444068833</v>
      </c>
    </row>
    <row r="159" spans="1:43" hidden="1" x14ac:dyDescent="0.25">
      <c r="A159" s="15" t="s">
        <v>93</v>
      </c>
      <c r="B159" s="16" t="e">
        <f>VLOOKUP(Sheet1!D159,Sheet2!A156,1,FALSE)</f>
        <v>#N/A</v>
      </c>
      <c r="C159" s="15" t="s">
        <v>20</v>
      </c>
      <c r="D159" s="15" t="s">
        <v>60</v>
      </c>
      <c r="E159" s="16" t="s">
        <v>74</v>
      </c>
      <c r="F159" s="13">
        <v>3.5711817E-2</v>
      </c>
      <c r="G159" s="13">
        <v>3.5990322999999998E-2</v>
      </c>
      <c r="H159" s="13">
        <v>3.6456487000000003E-2</v>
      </c>
      <c r="I159" s="13">
        <v>3.6772979999999997E-2</v>
      </c>
      <c r="J159" s="13">
        <v>3.6806832999999997E-2</v>
      </c>
      <c r="K159" s="13">
        <v>3.6767305E-2</v>
      </c>
      <c r="L159" s="13">
        <v>3.6718819999999999E-2</v>
      </c>
      <c r="M159" s="13">
        <v>5.9395910000000001E-3</v>
      </c>
      <c r="N159" s="13">
        <v>9.0136509999999993E-3</v>
      </c>
      <c r="O159" s="13">
        <v>1.1270558E-2</v>
      </c>
      <c r="P159" s="13">
        <v>1.3156479E-2</v>
      </c>
      <c r="Q159" s="13">
        <v>1.4853776000000001E-2</v>
      </c>
      <c r="R159" s="13">
        <v>1.6148135000000001E-2</v>
      </c>
      <c r="S159" s="13">
        <v>1.6836495999999999E-2</v>
      </c>
      <c r="T159" s="13">
        <v>6.6115575999999995E-2</v>
      </c>
      <c r="U159" s="13">
        <v>6.3565842999999997E-2</v>
      </c>
      <c r="V159" s="13">
        <v>6.2577558000000005E-2</v>
      </c>
      <c r="W159" s="13">
        <v>6.0909478000000003E-2</v>
      </c>
      <c r="X159" s="13">
        <v>5.9199267999999999E-2</v>
      </c>
      <c r="Y159" s="13">
        <v>5.7995051999999998E-2</v>
      </c>
      <c r="Z159" s="13">
        <v>5.6800300999999997E-2</v>
      </c>
      <c r="AA159" s="13">
        <v>1.8204892E-2</v>
      </c>
      <c r="AB159" s="13">
        <v>1.8807862000000002E-2</v>
      </c>
      <c r="AC159" s="13">
        <v>1.896275E-2</v>
      </c>
      <c r="AD159" s="13">
        <v>1.7896265000000001E-2</v>
      </c>
      <c r="AE159" s="13">
        <v>1.9022345E-2</v>
      </c>
      <c r="AF159" s="13">
        <v>1.9517111E-2</v>
      </c>
      <c r="AG159" s="13">
        <v>1.9872600000000001E-2</v>
      </c>
      <c r="AH159" s="13">
        <v>5.3519755000000002E-2</v>
      </c>
      <c r="AI159" s="13">
        <v>5.3462572E-2</v>
      </c>
      <c r="AJ159" s="13">
        <v>5.4250564000000001E-2</v>
      </c>
      <c r="AK159" s="13">
        <v>5.5999762000000002E-2</v>
      </c>
      <c r="AL159" s="13">
        <v>5.4901705000000002E-2</v>
      </c>
      <c r="AM159" s="13">
        <v>5.4309372000000002E-2</v>
      </c>
      <c r="AN159" s="13">
        <v>5.3843361999999999E-2</v>
      </c>
      <c r="AO159" s="13">
        <v>7.8936074999999994E-2</v>
      </c>
      <c r="AP159" s="14">
        <v>-2.0381891999999999E-2</v>
      </c>
      <c r="AQ159" s="14">
        <v>0.66525048099999995</v>
      </c>
    </row>
    <row r="160" spans="1:43" hidden="1" x14ac:dyDescent="0.25">
      <c r="A160" s="15" t="s">
        <v>93</v>
      </c>
      <c r="B160" s="16" t="e">
        <f>VLOOKUP(Sheet1!D160,Sheet2!A157,1,FALSE)</f>
        <v>#N/A</v>
      </c>
      <c r="C160" s="15" t="s">
        <v>20</v>
      </c>
      <c r="D160" s="15" t="s">
        <v>61</v>
      </c>
      <c r="E160" s="16" t="s">
        <v>75</v>
      </c>
      <c r="F160" s="13">
        <v>-7.6614889999999996E-3</v>
      </c>
      <c r="G160" s="13">
        <v>-6.0956760000000004E-3</v>
      </c>
      <c r="H160" s="13">
        <v>-2.5137129999999999E-3</v>
      </c>
      <c r="I160" s="13">
        <v>2.2493930000000001E-3</v>
      </c>
      <c r="J160" s="13">
        <v>5.3222629999999998E-3</v>
      </c>
      <c r="K160" s="13">
        <v>7.3432979999999998E-3</v>
      </c>
      <c r="L160" s="13">
        <v>8.7404619999999992E-3</v>
      </c>
      <c r="M160" s="13">
        <v>-1.8776344E-2</v>
      </c>
      <c r="N160" s="13">
        <v>-1.5857399000000001E-2</v>
      </c>
      <c r="O160" s="13">
        <v>-1.1503523999999999E-2</v>
      </c>
      <c r="P160" s="13">
        <v>-5.9976910000000003E-3</v>
      </c>
      <c r="Q160" s="13">
        <v>-2.3966600000000001E-3</v>
      </c>
      <c r="R160" s="13">
        <v>7.9699999999999999E-5</v>
      </c>
      <c r="S160" s="13">
        <v>1.900601E-3</v>
      </c>
      <c r="T160" s="13">
        <v>3.4452660000000002E-3</v>
      </c>
      <c r="U160" s="13">
        <v>3.6719299999999999E-3</v>
      </c>
      <c r="V160" s="13">
        <v>6.5369520000000004E-3</v>
      </c>
      <c r="W160" s="13">
        <v>1.0581587999999999E-2</v>
      </c>
      <c r="X160" s="13">
        <v>1.3172286E-2</v>
      </c>
      <c r="Y160" s="13">
        <v>1.4611561E-2</v>
      </c>
      <c r="Z160" s="13">
        <v>1.5642791E-2</v>
      </c>
      <c r="AA160" s="13">
        <v>-1.1489701E-2</v>
      </c>
      <c r="AB160" s="13">
        <v>-1.0244138999999999E-2</v>
      </c>
      <c r="AC160" s="13">
        <v>-7.3723139999999996E-3</v>
      </c>
      <c r="AD160" s="13">
        <v>-3.4348429999999999E-3</v>
      </c>
      <c r="AE160" s="13">
        <v>-4.7800000000000002E-4</v>
      </c>
      <c r="AF160" s="13">
        <v>1.6565110000000001E-3</v>
      </c>
      <c r="AG160" s="13">
        <v>3.282236E-3</v>
      </c>
      <c r="AH160" s="13">
        <v>-3.818451E-3</v>
      </c>
      <c r="AI160" s="13">
        <v>-1.929825E-3</v>
      </c>
      <c r="AJ160" s="13">
        <v>2.3686689999999999E-3</v>
      </c>
      <c r="AK160" s="13">
        <v>7.966051E-3</v>
      </c>
      <c r="AL160" s="13">
        <v>1.1156045999999999E-2</v>
      </c>
      <c r="AM160" s="13">
        <v>1.3062371E-2</v>
      </c>
      <c r="AN160" s="13">
        <v>1.4228381999999999E-2</v>
      </c>
      <c r="AO160" s="13">
        <v>3.4745738999999998E-2</v>
      </c>
      <c r="AP160" s="14">
        <v>0.94041199200000003</v>
      </c>
      <c r="AQ160" s="14">
        <v>-6.0882085000000002E-2</v>
      </c>
    </row>
    <row r="161" spans="1:43" hidden="1" x14ac:dyDescent="0.25">
      <c r="A161" s="15" t="s">
        <v>93</v>
      </c>
      <c r="B161" s="16" t="e">
        <f>VLOOKUP(Sheet1!D161,Sheet2!A158,1,FALSE)</f>
        <v>#N/A</v>
      </c>
      <c r="C161" s="15" t="s">
        <v>20</v>
      </c>
      <c r="D161" s="15" t="s">
        <v>100</v>
      </c>
      <c r="E161" s="16" t="s">
        <v>108</v>
      </c>
      <c r="F161" s="13">
        <v>-1.067748E-2</v>
      </c>
      <c r="G161" s="13">
        <v>-9.1589259999999995E-3</v>
      </c>
      <c r="H161" s="13">
        <v>-5.6906530000000004E-3</v>
      </c>
      <c r="I161" s="13">
        <v>-1.088793E-3</v>
      </c>
      <c r="J161" s="13">
        <v>1.8743200000000001E-3</v>
      </c>
      <c r="K161" s="13">
        <v>3.8210470000000002E-3</v>
      </c>
      <c r="L161" s="13">
        <v>5.1660899999999999E-3</v>
      </c>
      <c r="M161" s="13">
        <v>-2.5388641E-2</v>
      </c>
      <c r="N161" s="13">
        <v>-2.2259155999999999E-2</v>
      </c>
      <c r="O161" s="13">
        <v>-1.7682712999999999E-2</v>
      </c>
      <c r="P161" s="13">
        <v>-1.2415895999999999E-2</v>
      </c>
      <c r="Q161" s="13">
        <v>-8.8024020000000008E-3</v>
      </c>
      <c r="R161" s="13">
        <v>-6.2107619999999999E-3</v>
      </c>
      <c r="S161" s="13">
        <v>-4.365453E-3</v>
      </c>
      <c r="T161" s="13">
        <v>4.2807390000000004E-3</v>
      </c>
      <c r="U161" s="13">
        <v>3.8574740000000001E-3</v>
      </c>
      <c r="V161" s="13">
        <v>6.2602530000000003E-3</v>
      </c>
      <c r="W161" s="13">
        <v>1.0361479999999999E-2</v>
      </c>
      <c r="X161" s="13">
        <v>1.2722104999999999E-2</v>
      </c>
      <c r="Y161" s="13">
        <v>1.4031781E-2</v>
      </c>
      <c r="Z161" s="13">
        <v>1.4701133E-2</v>
      </c>
      <c r="AA161" s="13">
        <v>-1.6302724000000001E-2</v>
      </c>
      <c r="AB161" s="13">
        <v>-1.5082956999999999E-2</v>
      </c>
      <c r="AC161" s="13">
        <v>-1.2758973E-2</v>
      </c>
      <c r="AD161" s="13">
        <v>-8.9414469999999999E-3</v>
      </c>
      <c r="AE161" s="13">
        <v>-6.2688910000000004E-3</v>
      </c>
      <c r="AF161" s="13">
        <v>-4.1334429999999997E-3</v>
      </c>
      <c r="AG161" s="13">
        <v>-2.2818560000000001E-3</v>
      </c>
      <c r="AH161" s="13">
        <v>-5.0200669999999996E-3</v>
      </c>
      <c r="AI161" s="13">
        <v>-3.1992629999999999E-3</v>
      </c>
      <c r="AJ161" s="13">
        <v>1.428274E-3</v>
      </c>
      <c r="AK161" s="13">
        <v>6.8260819999999998E-3</v>
      </c>
      <c r="AL161" s="13">
        <v>1.0084261000000001E-2</v>
      </c>
      <c r="AM161" s="13">
        <v>1.1839072000000001E-2</v>
      </c>
      <c r="AN161" s="13">
        <v>1.2669636E-2</v>
      </c>
      <c r="AO161" s="13">
        <v>4.5817877E-2</v>
      </c>
      <c r="AP161" s="14">
        <v>1</v>
      </c>
      <c r="AQ161" s="14">
        <v>-0.234075542</v>
      </c>
    </row>
    <row r="162" spans="1:43" hidden="1" x14ac:dyDescent="0.25">
      <c r="A162" s="15" t="s">
        <v>93</v>
      </c>
      <c r="B162" s="16" t="e">
        <f>VLOOKUP(Sheet1!D162,Sheet2!A159,1,FALSE)</f>
        <v>#N/A</v>
      </c>
      <c r="C162" s="15" t="s">
        <v>20</v>
      </c>
      <c r="D162" s="15" t="s">
        <v>101</v>
      </c>
      <c r="E162" s="16" t="s">
        <v>109</v>
      </c>
      <c r="F162" s="13">
        <v>-2.1535099999999999E-4</v>
      </c>
      <c r="G162" s="13">
        <v>5.7422400000000002E-4</v>
      </c>
      <c r="H162" s="13">
        <v>2.2794180000000001E-3</v>
      </c>
      <c r="I162" s="13">
        <v>4.3663210000000003E-3</v>
      </c>
      <c r="J162" s="13">
        <v>5.6106960000000001E-3</v>
      </c>
      <c r="K162" s="13">
        <v>6.3918170000000002E-3</v>
      </c>
      <c r="L162" s="13">
        <v>6.9188549999999998E-3</v>
      </c>
      <c r="M162" s="13">
        <v>-3.0110599999999999E-4</v>
      </c>
      <c r="N162" s="13">
        <v>-8.1751000000000002E-4</v>
      </c>
      <c r="O162" s="13">
        <v>-4.1731899999999998E-4</v>
      </c>
      <c r="P162" s="13">
        <v>8.74255E-4</v>
      </c>
      <c r="Q162" s="13">
        <v>2.0579349999999999E-3</v>
      </c>
      <c r="R162" s="13">
        <v>2.9554130000000001E-3</v>
      </c>
      <c r="S162" s="13">
        <v>3.606017E-3</v>
      </c>
      <c r="T162" s="13">
        <v>-1.2958800000000001E-4</v>
      </c>
      <c r="U162" s="13">
        <v>1.9678959999999998E-3</v>
      </c>
      <c r="V162" s="13">
        <v>4.9834299999999996E-3</v>
      </c>
      <c r="W162" s="13">
        <v>7.8705719999999993E-3</v>
      </c>
      <c r="X162" s="13">
        <v>9.176053E-3</v>
      </c>
      <c r="Y162" s="13">
        <v>9.8399950000000007E-3</v>
      </c>
      <c r="Z162" s="13">
        <v>1.0242629E-2</v>
      </c>
      <c r="AA162" s="13">
        <v>-2.9904500000000001E-4</v>
      </c>
      <c r="AB162" s="13">
        <v>-8.0030499999999996E-4</v>
      </c>
      <c r="AC162" s="13">
        <v>-4.7187999999999999E-4</v>
      </c>
      <c r="AD162" s="13">
        <v>8.3578500000000002E-4</v>
      </c>
      <c r="AE162" s="13">
        <v>1.9509779999999999E-3</v>
      </c>
      <c r="AF162" s="13">
        <v>2.927682E-3</v>
      </c>
      <c r="AG162" s="13">
        <v>3.6755440000000002E-3</v>
      </c>
      <c r="AH162" s="13">
        <v>-1.3165E-4</v>
      </c>
      <c r="AI162" s="13">
        <v>1.9506440000000001E-3</v>
      </c>
      <c r="AJ162" s="13">
        <v>5.0382889999999996E-3</v>
      </c>
      <c r="AK162" s="13">
        <v>7.9093119999999999E-3</v>
      </c>
      <c r="AL162" s="13">
        <v>9.2837820000000008E-3</v>
      </c>
      <c r="AM162" s="13">
        <v>9.8679170000000004E-3</v>
      </c>
      <c r="AN162" s="13">
        <v>1.0172647E-2</v>
      </c>
      <c r="AO162" s="13">
        <v>0</v>
      </c>
      <c r="AP162" s="14">
        <v>0</v>
      </c>
      <c r="AQ162" s="14">
        <v>0</v>
      </c>
    </row>
    <row r="163" spans="1:43" hidden="1" x14ac:dyDescent="0.25">
      <c r="A163" s="15" t="s">
        <v>93</v>
      </c>
      <c r="B163" s="16" t="e">
        <f>VLOOKUP(Sheet1!D163,Sheet2!A160,1,FALSE)</f>
        <v>#N/A</v>
      </c>
      <c r="C163" s="15" t="s">
        <v>20</v>
      </c>
      <c r="D163" s="15" t="s">
        <v>172</v>
      </c>
      <c r="E163" s="16" t="s">
        <v>166</v>
      </c>
      <c r="F163" s="13">
        <v>1.4354204000000001E-2</v>
      </c>
      <c r="G163" s="13">
        <v>1.4319215E-2</v>
      </c>
      <c r="H163" s="13">
        <v>1.4034982E-2</v>
      </c>
      <c r="I163" s="13">
        <v>1.3296138000000001E-2</v>
      </c>
      <c r="J163" s="13">
        <v>1.2617575000000001E-2</v>
      </c>
      <c r="K163" s="13">
        <v>1.209841E-2</v>
      </c>
      <c r="L163" s="13">
        <v>1.1714775E-2</v>
      </c>
      <c r="M163" s="13">
        <v>-1.9720805000000001E-2</v>
      </c>
      <c r="N163" s="13">
        <v>-1.6366896999999998E-2</v>
      </c>
      <c r="O163" s="13">
        <v>-1.5184183E-2</v>
      </c>
      <c r="P163" s="13">
        <v>-1.4510923E-2</v>
      </c>
      <c r="Q163" s="13">
        <v>-1.363994E-2</v>
      </c>
      <c r="R163" s="13">
        <v>-1.2628753E-2</v>
      </c>
      <c r="S163" s="13">
        <v>-1.1692146E-2</v>
      </c>
      <c r="T163" s="13">
        <v>4.9894015999999999E-2</v>
      </c>
      <c r="U163" s="13">
        <v>4.6025657999999997E-2</v>
      </c>
      <c r="V163" s="13">
        <v>4.3864423E-2</v>
      </c>
      <c r="W163" s="13">
        <v>4.2072312000000001E-2</v>
      </c>
      <c r="X163" s="13">
        <v>3.9595841E-2</v>
      </c>
      <c r="Y163" s="13">
        <v>3.7604672999999998E-2</v>
      </c>
      <c r="Z163" s="13">
        <v>3.5738271000000002E-2</v>
      </c>
      <c r="AA163" s="13">
        <v>-4.4760950000000002E-3</v>
      </c>
      <c r="AB163" s="13">
        <v>-4.6899130000000004E-3</v>
      </c>
      <c r="AC163" s="13">
        <v>-7.215735E-3</v>
      </c>
      <c r="AD163" s="13">
        <v>-8.7083170000000001E-3</v>
      </c>
      <c r="AE163" s="13">
        <v>-1.0830619E-2</v>
      </c>
      <c r="AF163" s="13">
        <v>-1.0425967E-2</v>
      </c>
      <c r="AG163" s="13">
        <v>-9.1802129999999996E-3</v>
      </c>
      <c r="AH163" s="13">
        <v>3.3540684000000001E-2</v>
      </c>
      <c r="AI163" s="13">
        <v>3.3691392000000001E-2</v>
      </c>
      <c r="AJ163" s="13">
        <v>3.5740576000000003E-2</v>
      </c>
      <c r="AK163" s="13">
        <v>3.5789045999999998E-2</v>
      </c>
      <c r="AL163" s="13">
        <v>3.6621611999999998E-2</v>
      </c>
      <c r="AM163" s="13">
        <v>3.5135484000000002E-2</v>
      </c>
      <c r="AN163" s="13">
        <v>3.3050409000000003E-2</v>
      </c>
      <c r="AO163" s="13">
        <v>9.3973750999999994E-2</v>
      </c>
      <c r="AP163" s="14">
        <v>-0.20195496099999999</v>
      </c>
      <c r="AQ163" s="14">
        <v>0.20318951599999999</v>
      </c>
    </row>
    <row r="164" spans="1:43" hidden="1" x14ac:dyDescent="0.25">
      <c r="A164" s="15" t="s">
        <v>93</v>
      </c>
      <c r="B164" s="16" t="e">
        <f>VLOOKUP(Sheet1!D164,Sheet2!A161,1,FALSE)</f>
        <v>#N/A</v>
      </c>
      <c r="C164" s="15" t="s">
        <v>23</v>
      </c>
      <c r="D164" s="15" t="s">
        <v>64</v>
      </c>
      <c r="E164" s="16" t="s">
        <v>45</v>
      </c>
      <c r="F164" s="13">
        <v>0.11249052</v>
      </c>
      <c r="G164" s="13">
        <v>0.113216783</v>
      </c>
      <c r="H164" s="13">
        <v>0.11475790600000001</v>
      </c>
      <c r="I164" s="13">
        <v>0.116592548</v>
      </c>
      <c r="J164" s="13">
        <v>0.117655066</v>
      </c>
      <c r="K164" s="13">
        <v>0.118309659</v>
      </c>
      <c r="L164" s="13">
        <v>0.11874686399999999</v>
      </c>
      <c r="M164" s="13">
        <v>-4.8760709999999999E-2</v>
      </c>
      <c r="N164" s="13">
        <v>-3.7995295999999998E-2</v>
      </c>
      <c r="O164" s="13">
        <v>-2.5605157999999999E-2</v>
      </c>
      <c r="P164" s="13">
        <v>-1.1102628999999999E-2</v>
      </c>
      <c r="Q164" s="13">
        <v>1.0666E-4</v>
      </c>
      <c r="R164" s="13">
        <v>9.5381500000000004E-3</v>
      </c>
      <c r="S164" s="13">
        <v>1.5420066E-2</v>
      </c>
      <c r="T164" s="13">
        <v>0.30466906700000002</v>
      </c>
      <c r="U164" s="13">
        <v>0.28853394900000001</v>
      </c>
      <c r="V164" s="13">
        <v>0.27682359099999998</v>
      </c>
      <c r="W164" s="13">
        <v>0.26083135400000002</v>
      </c>
      <c r="X164" s="13">
        <v>0.24866201399999999</v>
      </c>
      <c r="Y164" s="13">
        <v>0.24135479000000001</v>
      </c>
      <c r="Z164" s="13">
        <v>0.234296323</v>
      </c>
      <c r="AA164" s="13">
        <v>-1.3709984E-2</v>
      </c>
      <c r="AB164" s="13">
        <v>-4.3889200000000001E-3</v>
      </c>
      <c r="AC164" s="13">
        <v>-5.3386800000000002E-3</v>
      </c>
      <c r="AD164" s="13">
        <v>5.6079399999999998E-4</v>
      </c>
      <c r="AE164" s="13">
        <v>4.8207349999999996E-3</v>
      </c>
      <c r="AF164" s="13">
        <v>1.4651925999999999E-2</v>
      </c>
      <c r="AG164" s="13">
        <v>2.2617877000000002E-2</v>
      </c>
      <c r="AH164" s="13">
        <v>0.25580744399999999</v>
      </c>
      <c r="AI164" s="13">
        <v>0.24553939</v>
      </c>
      <c r="AJ164" s="13">
        <v>0.25021727399999999</v>
      </c>
      <c r="AK164" s="13">
        <v>0.24687487699999999</v>
      </c>
      <c r="AL164" s="13">
        <v>0.24390489700000001</v>
      </c>
      <c r="AM164" s="13">
        <v>0.23317407300000001</v>
      </c>
      <c r="AN164" s="13">
        <v>0.22443379099999999</v>
      </c>
      <c r="AO164" s="13">
        <v>0.334623697</v>
      </c>
      <c r="AP164" s="14">
        <v>-0.30911010900000002</v>
      </c>
      <c r="AQ164" s="14">
        <v>0.86513286</v>
      </c>
    </row>
    <row r="165" spans="1:43" hidden="1" x14ac:dyDescent="0.25">
      <c r="A165" s="15" t="s">
        <v>93</v>
      </c>
      <c r="B165" s="16" t="e">
        <f>VLOOKUP(Sheet1!D165,Sheet2!A162,1,FALSE)</f>
        <v>#N/A</v>
      </c>
      <c r="C165" s="15" t="s">
        <v>23</v>
      </c>
      <c r="D165" s="15" t="s">
        <v>65</v>
      </c>
      <c r="E165" s="16" t="s">
        <v>45</v>
      </c>
      <c r="F165" s="13">
        <v>1.9677601999999999E-2</v>
      </c>
      <c r="G165" s="13">
        <v>2.1399128999999999E-2</v>
      </c>
      <c r="H165" s="13">
        <v>2.5354099000000001E-2</v>
      </c>
      <c r="I165" s="13">
        <v>3.0643577000000002E-2</v>
      </c>
      <c r="J165" s="13">
        <v>3.4073345999999997E-2</v>
      </c>
      <c r="K165" s="13">
        <v>3.6335537000000001E-2</v>
      </c>
      <c r="L165" s="13">
        <v>3.7901698999999997E-2</v>
      </c>
      <c r="M165" s="13">
        <v>-3.1547086000000002E-2</v>
      </c>
      <c r="N165" s="13">
        <v>-2.4365402000000001E-2</v>
      </c>
      <c r="O165" s="13">
        <v>-1.5628309E-2</v>
      </c>
      <c r="P165" s="13">
        <v>-6.2526719999999999E-3</v>
      </c>
      <c r="Q165" s="13">
        <v>9.2222599999999995E-4</v>
      </c>
      <c r="R165" s="13">
        <v>5.0304319999999996E-3</v>
      </c>
      <c r="S165" s="13">
        <v>8.74956E-3</v>
      </c>
      <c r="T165" s="13">
        <v>7.4409279999999994E-2</v>
      </c>
      <c r="U165" s="13">
        <v>6.9480859000000006E-2</v>
      </c>
      <c r="V165" s="13">
        <v>6.8250727999999997E-2</v>
      </c>
      <c r="W165" s="13">
        <v>6.8867142000000006E-2</v>
      </c>
      <c r="X165" s="13">
        <v>6.8931664000000004E-2</v>
      </c>
      <c r="Y165" s="13">
        <v>6.8404980000000004E-2</v>
      </c>
      <c r="Z165" s="13">
        <v>6.8094568999999994E-2</v>
      </c>
      <c r="AA165" s="13">
        <v>-8.8202320000000008E-3</v>
      </c>
      <c r="AB165" s="13">
        <v>-6.6426460000000003E-3</v>
      </c>
      <c r="AC165" s="13">
        <v>-2.426882E-3</v>
      </c>
      <c r="AD165" s="13">
        <v>3.6161980000000002E-3</v>
      </c>
      <c r="AE165" s="13">
        <v>8.7019379999999993E-3</v>
      </c>
      <c r="AF165" s="13">
        <v>1.2353126000000001E-2</v>
      </c>
      <c r="AG165" s="13">
        <v>1.4552435000000001E-2</v>
      </c>
      <c r="AH165" s="13">
        <v>4.9002551999999998E-2</v>
      </c>
      <c r="AI165" s="13">
        <v>5.0239984000000001E-2</v>
      </c>
      <c r="AJ165" s="13">
        <v>5.3916021000000001E-2</v>
      </c>
      <c r="AK165" s="13">
        <v>5.8405612000000003E-2</v>
      </c>
      <c r="AL165" s="13">
        <v>6.0088909000000003E-2</v>
      </c>
      <c r="AM165" s="13">
        <v>6.0891353000000002E-2</v>
      </c>
      <c r="AN165" s="13">
        <v>6.1793358999999999E-2</v>
      </c>
      <c r="AO165" s="13">
        <v>0.14792086500000001</v>
      </c>
      <c r="AP165" s="14">
        <v>-0.15608644999999999</v>
      </c>
      <c r="AQ165" s="14">
        <v>0.70134399800000002</v>
      </c>
    </row>
    <row r="166" spans="1:43" hidden="1" x14ac:dyDescent="0.25">
      <c r="A166" s="15" t="s">
        <v>93</v>
      </c>
      <c r="B166" s="16" t="e">
        <f>VLOOKUP(Sheet1!D166,Sheet2!A163,1,FALSE)</f>
        <v>#N/A</v>
      </c>
      <c r="C166" s="15" t="s">
        <v>23</v>
      </c>
      <c r="D166" s="15" t="s">
        <v>24</v>
      </c>
      <c r="E166" s="16" t="s">
        <v>46</v>
      </c>
      <c r="F166" s="13">
        <v>-3.0899999999999999E-3</v>
      </c>
      <c r="G166" s="13">
        <v>-4.4916299999999998E-4</v>
      </c>
      <c r="H166" s="13">
        <v>5.7327330000000003E-3</v>
      </c>
      <c r="I166" s="13">
        <v>1.4219943000000001E-2</v>
      </c>
      <c r="J166" s="13">
        <v>1.9849001000000002E-2</v>
      </c>
      <c r="K166" s="13">
        <v>2.3609002E-2</v>
      </c>
      <c r="L166" s="13">
        <v>2.6229295999999999E-2</v>
      </c>
      <c r="M166" s="13">
        <v>-4.2005988000000001E-2</v>
      </c>
      <c r="N166" s="13">
        <v>-3.5544572000000003E-2</v>
      </c>
      <c r="O166" s="13">
        <v>-2.6309796999999999E-2</v>
      </c>
      <c r="P166" s="13">
        <v>-1.5053623E-2</v>
      </c>
      <c r="Q166" s="13">
        <v>-6.8816440000000001E-3</v>
      </c>
      <c r="R166" s="13">
        <v>-1.5100000000000001E-3</v>
      </c>
      <c r="S166" s="13">
        <v>2.6517789999999999E-3</v>
      </c>
      <c r="T166" s="13">
        <v>3.7939522000000003E-2</v>
      </c>
      <c r="U166" s="13">
        <v>3.5933807999999998E-2</v>
      </c>
      <c r="V166" s="13">
        <v>3.8864971999999998E-2</v>
      </c>
      <c r="W166" s="13">
        <v>4.4148654000000002E-2</v>
      </c>
      <c r="X166" s="13">
        <v>4.7588667000000001E-2</v>
      </c>
      <c r="Y166" s="13">
        <v>4.9595222000000001E-2</v>
      </c>
      <c r="Z166" s="13">
        <v>5.0546427999999997E-2</v>
      </c>
      <c r="AA166" s="13">
        <v>-2.4224780000000001E-2</v>
      </c>
      <c r="AB166" s="13">
        <v>-2.1772685E-2</v>
      </c>
      <c r="AC166" s="13">
        <v>-1.5291683E-2</v>
      </c>
      <c r="AD166" s="13">
        <v>-7.4811809999999999E-3</v>
      </c>
      <c r="AE166" s="13">
        <v>-1.01E-3</v>
      </c>
      <c r="AF166" s="13">
        <v>4.0811279999999998E-3</v>
      </c>
      <c r="AG166" s="13">
        <v>7.0421449999999997E-3</v>
      </c>
      <c r="AH166" s="13">
        <v>1.8509543999999999E-2</v>
      </c>
      <c r="AI166" s="13">
        <v>2.1341559999999999E-2</v>
      </c>
      <c r="AJ166" s="13">
        <v>2.7208329E-2</v>
      </c>
      <c r="AK166" s="13">
        <v>3.6397959000000001E-2</v>
      </c>
      <c r="AL166" s="13">
        <v>4.1143040999999998E-2</v>
      </c>
      <c r="AM166" s="13">
        <v>4.3518565000000002E-2</v>
      </c>
      <c r="AN166" s="13">
        <v>4.5783847000000003E-2</v>
      </c>
      <c r="AO166" s="13">
        <v>0.113867908</v>
      </c>
      <c r="AP166" s="14">
        <v>0.120556474</v>
      </c>
      <c r="AQ166" s="14">
        <v>0.434074354</v>
      </c>
    </row>
    <row r="167" spans="1:43" hidden="1" x14ac:dyDescent="0.25">
      <c r="A167" s="15" t="s">
        <v>93</v>
      </c>
      <c r="B167" s="16" t="e">
        <f>VLOOKUP(Sheet1!D167,Sheet2!A164,1,FALSE)</f>
        <v>#N/A</v>
      </c>
      <c r="C167" s="15" t="s">
        <v>23</v>
      </c>
      <c r="D167" s="15" t="s">
        <v>25</v>
      </c>
      <c r="E167" s="16" t="s">
        <v>45</v>
      </c>
      <c r="F167" s="13">
        <v>3.6537972000000002E-2</v>
      </c>
      <c r="G167" s="13">
        <v>3.7564104000000001E-2</v>
      </c>
      <c r="H167" s="13">
        <v>3.9835258999999998E-2</v>
      </c>
      <c r="I167" s="13">
        <v>4.2718712999999998E-2</v>
      </c>
      <c r="J167" s="13">
        <v>4.4501621999999998E-2</v>
      </c>
      <c r="K167" s="13">
        <v>4.5645863000000002E-2</v>
      </c>
      <c r="L167" s="13">
        <v>4.6426975000000002E-2</v>
      </c>
      <c r="M167" s="13">
        <v>-1.0375905E-2</v>
      </c>
      <c r="N167" s="13">
        <v>-4.7821490000000003E-3</v>
      </c>
      <c r="O167" s="13">
        <v>1.905889E-3</v>
      </c>
      <c r="P167" s="13">
        <v>9.1014649999999996E-3</v>
      </c>
      <c r="Q167" s="13">
        <v>1.348104E-2</v>
      </c>
      <c r="R167" s="13">
        <v>1.7025933E-2</v>
      </c>
      <c r="S167" s="13">
        <v>1.9474489000000001E-2</v>
      </c>
      <c r="T167" s="13">
        <v>8.6610567999999999E-2</v>
      </c>
      <c r="U167" s="13">
        <v>8.1498503999999999E-2</v>
      </c>
      <c r="V167" s="13">
        <v>7.9117317000000006E-2</v>
      </c>
      <c r="W167" s="13">
        <v>7.7868148999999998E-2</v>
      </c>
      <c r="X167" s="13">
        <v>7.6203545999999997E-2</v>
      </c>
      <c r="Y167" s="13">
        <v>7.5329088000000002E-2</v>
      </c>
      <c r="Z167" s="13">
        <v>7.4136022999999995E-2</v>
      </c>
      <c r="AA167" s="13">
        <v>1.1377833E-2</v>
      </c>
      <c r="AB167" s="13">
        <v>1.3253559999999999E-2</v>
      </c>
      <c r="AC167" s="13">
        <v>1.5206463E-2</v>
      </c>
      <c r="AD167" s="13">
        <v>1.7418844999999999E-2</v>
      </c>
      <c r="AE167" s="13">
        <v>2.0119135E-2</v>
      </c>
      <c r="AF167" s="13">
        <v>2.2816138999999999E-2</v>
      </c>
      <c r="AG167" s="13">
        <v>2.4978120999999999E-2</v>
      </c>
      <c r="AH167" s="13">
        <v>6.2331536999999999E-2</v>
      </c>
      <c r="AI167" s="13">
        <v>6.2464909999999998E-2</v>
      </c>
      <c r="AJ167" s="13">
        <v>6.5068703000000006E-2</v>
      </c>
      <c r="AK167" s="13">
        <v>6.8655214000000006E-2</v>
      </c>
      <c r="AL167" s="13">
        <v>6.9473828000000001E-2</v>
      </c>
      <c r="AM167" s="13">
        <v>6.8991206999999999E-2</v>
      </c>
      <c r="AN167" s="13">
        <v>6.8329991000000007E-2</v>
      </c>
      <c r="AO167" s="13">
        <v>0.136588773</v>
      </c>
      <c r="AP167" s="14">
        <v>-0.19433728</v>
      </c>
      <c r="AQ167" s="14">
        <v>0.68772150399999998</v>
      </c>
    </row>
    <row r="168" spans="1:43" hidden="1" x14ac:dyDescent="0.25">
      <c r="A168" s="15" t="s">
        <v>93</v>
      </c>
      <c r="B168" s="16" t="e">
        <f>VLOOKUP(Sheet1!D168,Sheet2!A165,1,FALSE)</f>
        <v>#N/A</v>
      </c>
      <c r="C168" s="15" t="s">
        <v>23</v>
      </c>
      <c r="D168" s="15" t="s">
        <v>26</v>
      </c>
      <c r="E168" s="16" t="s">
        <v>45</v>
      </c>
      <c r="F168" s="13">
        <v>4.7067566999999998E-2</v>
      </c>
      <c r="G168" s="13">
        <v>4.8065418999999998E-2</v>
      </c>
      <c r="H168" s="13">
        <v>5.0266785000000001E-2</v>
      </c>
      <c r="I168" s="13">
        <v>5.3048373000000003E-2</v>
      </c>
      <c r="J168" s="13">
        <v>5.4760465000000001E-2</v>
      </c>
      <c r="K168" s="13">
        <v>5.5856272999999998E-2</v>
      </c>
      <c r="L168" s="13">
        <v>5.6603264E-2</v>
      </c>
      <c r="M168" s="13">
        <v>-9.1646880999999999E-2</v>
      </c>
      <c r="N168" s="13">
        <v>-8.2166735000000005E-2</v>
      </c>
      <c r="O168" s="13">
        <v>-6.8529156999999993E-2</v>
      </c>
      <c r="P168" s="13">
        <v>-5.3842132000000001E-2</v>
      </c>
      <c r="Q168" s="13">
        <v>-4.3525824999999997E-2</v>
      </c>
      <c r="R168" s="13">
        <v>-3.5122515999999999E-2</v>
      </c>
      <c r="S168" s="13">
        <v>-2.8547685999999999E-2</v>
      </c>
      <c r="T168" s="13">
        <v>0.207498138</v>
      </c>
      <c r="U168" s="13">
        <v>0.19756775700000001</v>
      </c>
      <c r="V168" s="13">
        <v>0.18560622299999999</v>
      </c>
      <c r="W168" s="13">
        <v>0.171805967</v>
      </c>
      <c r="X168" s="13">
        <v>0.16362096000000001</v>
      </c>
      <c r="Y168" s="13">
        <v>0.15508361000000001</v>
      </c>
      <c r="Z168" s="13">
        <v>0.14951136700000001</v>
      </c>
      <c r="AA168" s="13">
        <v>-8.6072408000000003E-2</v>
      </c>
      <c r="AB168" s="13">
        <v>-7.6912900000000006E-2</v>
      </c>
      <c r="AC168" s="13">
        <v>-6.5314713999999996E-2</v>
      </c>
      <c r="AD168" s="13">
        <v>-5.2721160000000003E-2</v>
      </c>
      <c r="AE168" s="13">
        <v>-4.1164738999999999E-2</v>
      </c>
      <c r="AF168" s="13">
        <v>-3.3967984999999999E-2</v>
      </c>
      <c r="AG168" s="13">
        <v>-2.8769932000000002E-2</v>
      </c>
      <c r="AH168" s="13">
        <v>0.199926876</v>
      </c>
      <c r="AI168" s="13">
        <v>0.19024427699999999</v>
      </c>
      <c r="AJ168" s="13">
        <v>0.18037399600000001</v>
      </c>
      <c r="AK168" s="13">
        <v>0.17081774399999999</v>
      </c>
      <c r="AL168" s="13">
        <v>0.16043541</v>
      </c>
      <c r="AM168" s="13">
        <v>0.154164784</v>
      </c>
      <c r="AN168" s="13">
        <v>0.14959868200000001</v>
      </c>
      <c r="AO168" s="13">
        <v>0.21040898499999999</v>
      </c>
      <c r="AP168" s="14">
        <v>-0.152876337</v>
      </c>
      <c r="AQ168" s="14">
        <v>0.660289503</v>
      </c>
    </row>
    <row r="169" spans="1:43" hidden="1" x14ac:dyDescent="0.25">
      <c r="A169" s="15" t="s">
        <v>93</v>
      </c>
      <c r="B169" s="16" t="e">
        <f>VLOOKUP(Sheet1!D169,Sheet2!A166,1,FALSE)</f>
        <v>#N/A</v>
      </c>
      <c r="C169" s="15" t="s">
        <v>23</v>
      </c>
      <c r="D169" s="15" t="s">
        <v>27</v>
      </c>
      <c r="E169" s="16" t="s">
        <v>47</v>
      </c>
      <c r="F169" s="13">
        <v>4.1179054999999999E-2</v>
      </c>
      <c r="G169" s="13">
        <v>4.2201355000000003E-2</v>
      </c>
      <c r="H169" s="13">
        <v>4.4463932999999997E-2</v>
      </c>
      <c r="I169" s="13">
        <v>4.7336324999999999E-2</v>
      </c>
      <c r="J169" s="13">
        <v>4.9112292000000002E-2</v>
      </c>
      <c r="K169" s="13">
        <v>5.0252037999999999E-2</v>
      </c>
      <c r="L169" s="13">
        <v>5.1030068999999997E-2</v>
      </c>
      <c r="M169" s="13">
        <v>2.170983E-3</v>
      </c>
      <c r="N169" s="13">
        <v>6.4439450000000004E-3</v>
      </c>
      <c r="O169" s="13">
        <v>1.204088E-2</v>
      </c>
      <c r="P169" s="13">
        <v>1.7907554999999999E-2</v>
      </c>
      <c r="Q169" s="13">
        <v>2.2369875000000001E-2</v>
      </c>
      <c r="R169" s="13">
        <v>2.5216518E-2</v>
      </c>
      <c r="S169" s="13">
        <v>2.7773538E-2</v>
      </c>
      <c r="T169" s="13">
        <v>8.1390974000000005E-2</v>
      </c>
      <c r="U169" s="13">
        <v>7.8652817E-2</v>
      </c>
      <c r="V169" s="13">
        <v>7.7744452000000006E-2</v>
      </c>
      <c r="W169" s="13">
        <v>7.7336573000000006E-2</v>
      </c>
      <c r="X169" s="13">
        <v>7.6718041000000001E-2</v>
      </c>
      <c r="Y169" s="13">
        <v>7.5690506000000005E-2</v>
      </c>
      <c r="Z169" s="13">
        <v>7.5031680000000003E-2</v>
      </c>
      <c r="AA169" s="13">
        <v>8.1130109999999998E-3</v>
      </c>
      <c r="AB169" s="13">
        <v>1.0856117E-2</v>
      </c>
      <c r="AC169" s="13">
        <v>1.5364002999999999E-2</v>
      </c>
      <c r="AD169" s="13">
        <v>2.1059672000000002E-2</v>
      </c>
      <c r="AE169" s="13">
        <v>2.5164774000000001E-2</v>
      </c>
      <c r="AF169" s="13">
        <v>2.7891412000000001E-2</v>
      </c>
      <c r="AG169" s="13">
        <v>3.0332586000000002E-2</v>
      </c>
      <c r="AH169" s="13">
        <v>7.5351628000000004E-2</v>
      </c>
      <c r="AI169" s="13">
        <v>7.4538183999999993E-2</v>
      </c>
      <c r="AJ169" s="13">
        <v>7.4414614000000004E-2</v>
      </c>
      <c r="AK169" s="13">
        <v>7.4302709999999994E-2</v>
      </c>
      <c r="AL169" s="13">
        <v>7.3630349999999997E-2</v>
      </c>
      <c r="AM169" s="13">
        <v>7.3108748000000001E-2</v>
      </c>
      <c r="AN169" s="13">
        <v>7.2151557000000005E-2</v>
      </c>
      <c r="AO169" s="13">
        <v>7.4110272000000005E-2</v>
      </c>
      <c r="AP169" s="14">
        <v>-0.29743694700000001</v>
      </c>
      <c r="AQ169" s="14">
        <v>0.83808131799999996</v>
      </c>
    </row>
    <row r="170" spans="1:43" hidden="1" x14ac:dyDescent="0.25">
      <c r="A170" s="15" t="s">
        <v>93</v>
      </c>
      <c r="B170" s="16" t="e">
        <f>VLOOKUP(Sheet1!D170,Sheet2!A167,1,FALSE)</f>
        <v>#N/A</v>
      </c>
      <c r="C170" s="15" t="s">
        <v>23</v>
      </c>
      <c r="D170" s="15" t="s">
        <v>195</v>
      </c>
      <c r="E170" s="16" t="s">
        <v>45</v>
      </c>
      <c r="F170" s="13">
        <v>4.3865133000000001E-2</v>
      </c>
      <c r="G170" s="13">
        <v>4.4052489E-2</v>
      </c>
      <c r="H170" s="13">
        <v>4.4299394999999998E-2</v>
      </c>
      <c r="I170" s="13">
        <v>4.4305646999999997E-2</v>
      </c>
      <c r="J170" s="13">
        <v>4.4129041000000001E-2</v>
      </c>
      <c r="K170" s="13">
        <v>4.3947450999999998E-2</v>
      </c>
      <c r="L170" s="13">
        <v>4.3799566999999998E-2</v>
      </c>
      <c r="M170" s="13">
        <v>-1.4914335000000001E-2</v>
      </c>
      <c r="N170" s="13">
        <v>-9.2187350000000005E-3</v>
      </c>
      <c r="O170" s="13">
        <v>-5.6545579999999996E-3</v>
      </c>
      <c r="P170" s="13">
        <v>-2.686824E-3</v>
      </c>
      <c r="Q170" s="13">
        <v>-4.3582899999999999E-4</v>
      </c>
      <c r="R170" s="13">
        <v>2.0878530000000002E-3</v>
      </c>
      <c r="S170" s="13">
        <v>3.9673640000000001E-3</v>
      </c>
      <c r="T170" s="13">
        <v>0.10640555</v>
      </c>
      <c r="U170" s="13">
        <v>0.100462183</v>
      </c>
      <c r="V170" s="13">
        <v>9.6904296000000001E-2</v>
      </c>
      <c r="W170" s="13">
        <v>9.3660519999999997E-2</v>
      </c>
      <c r="X170" s="13">
        <v>9.060095E-2</v>
      </c>
      <c r="Y170" s="13">
        <v>8.7572217999999993E-2</v>
      </c>
      <c r="Z170" s="13">
        <v>8.4797661999999996E-2</v>
      </c>
      <c r="AA170" s="13">
        <v>7.1609999999999998E-3</v>
      </c>
      <c r="AB170" s="13">
        <v>6.094726E-3</v>
      </c>
      <c r="AC170" s="13">
        <v>6.3611450000000003E-3</v>
      </c>
      <c r="AD170" s="13">
        <v>5.7663150000000002E-3</v>
      </c>
      <c r="AE170" s="13">
        <v>7.9901659999999999E-3</v>
      </c>
      <c r="AF170" s="13">
        <v>8.5590019999999996E-3</v>
      </c>
      <c r="AG170" s="13">
        <v>8.9222220000000005E-3</v>
      </c>
      <c r="AH170" s="13">
        <v>8.1919347000000003E-2</v>
      </c>
      <c r="AI170" s="13">
        <v>8.3455678000000005E-2</v>
      </c>
      <c r="AJ170" s="13">
        <v>8.3681199999999997E-2</v>
      </c>
      <c r="AK170" s="13">
        <v>8.4335530000000006E-2</v>
      </c>
      <c r="AL170" s="13">
        <v>8.1575654999999997E-2</v>
      </c>
      <c r="AM170" s="13">
        <v>8.0589226E-2</v>
      </c>
      <c r="AN170" s="13">
        <v>7.9893800000000001E-2</v>
      </c>
      <c r="AO170" s="13">
        <v>0.15229478699999999</v>
      </c>
      <c r="AP170" s="14">
        <v>-0.125479799</v>
      </c>
      <c r="AQ170" s="14">
        <v>0.63688383699999995</v>
      </c>
    </row>
    <row r="171" spans="1:43" hidden="1" x14ac:dyDescent="0.25">
      <c r="A171" s="15" t="s">
        <v>93</v>
      </c>
      <c r="B171" s="16" t="e">
        <f>VLOOKUP(Sheet1!D171,Sheet2!A168,1,FALSE)</f>
        <v>#N/A</v>
      </c>
      <c r="C171" s="15" t="s">
        <v>23</v>
      </c>
      <c r="D171" s="15" t="s">
        <v>28</v>
      </c>
      <c r="E171" s="16" t="s">
        <v>45</v>
      </c>
      <c r="F171" s="13">
        <v>6.1205276000000003E-2</v>
      </c>
      <c r="G171" s="13">
        <v>6.1950046000000002E-2</v>
      </c>
      <c r="H171" s="13">
        <v>6.3539890000000002E-2</v>
      </c>
      <c r="I171" s="13">
        <v>6.5450624999999998E-2</v>
      </c>
      <c r="J171" s="13">
        <v>6.6568569999999994E-2</v>
      </c>
      <c r="K171" s="13">
        <v>6.7261909999999994E-2</v>
      </c>
      <c r="L171" s="13">
        <v>6.7726684999999995E-2</v>
      </c>
      <c r="M171" s="13">
        <v>-9.0158170000000006E-3</v>
      </c>
      <c r="N171" s="13">
        <v>-1.856307E-3</v>
      </c>
      <c r="O171" s="13">
        <v>4.1800149999999996E-3</v>
      </c>
      <c r="P171" s="13">
        <v>1.0416727000000001E-2</v>
      </c>
      <c r="Q171" s="13">
        <v>1.4997155999999999E-2</v>
      </c>
      <c r="R171" s="13">
        <v>1.7925836000000001E-2</v>
      </c>
      <c r="S171" s="13">
        <v>2.1146042E-2</v>
      </c>
      <c r="T171" s="13">
        <v>0.13717848399999999</v>
      </c>
      <c r="U171" s="13">
        <v>0.12983591</v>
      </c>
      <c r="V171" s="13">
        <v>0.12642757299999999</v>
      </c>
      <c r="W171" s="13">
        <v>0.12411949</v>
      </c>
      <c r="X171" s="13">
        <v>0.120644401</v>
      </c>
      <c r="Y171" s="13">
        <v>0.118722771</v>
      </c>
      <c r="Z171" s="13">
        <v>0.116297487</v>
      </c>
      <c r="AA171" s="13">
        <v>1.6722826E-2</v>
      </c>
      <c r="AB171" s="13">
        <v>1.9307147E-2</v>
      </c>
      <c r="AC171" s="13">
        <v>2.1700081999999999E-2</v>
      </c>
      <c r="AD171" s="13">
        <v>2.2236580999999998E-2</v>
      </c>
      <c r="AE171" s="13">
        <v>2.4154411000000001E-2</v>
      </c>
      <c r="AF171" s="13">
        <v>2.4910023E-2</v>
      </c>
      <c r="AG171" s="13">
        <v>2.7395169E-2</v>
      </c>
      <c r="AH171" s="13">
        <v>0.107682996</v>
      </c>
      <c r="AI171" s="13">
        <v>0.10642177799999999</v>
      </c>
      <c r="AJ171" s="13">
        <v>0.107136065</v>
      </c>
      <c r="AK171" s="13">
        <v>0.11053729700000001</v>
      </c>
      <c r="AL171" s="13">
        <v>0.110783227</v>
      </c>
      <c r="AM171" s="13">
        <v>0.111407643</v>
      </c>
      <c r="AN171" s="13">
        <v>0.109680947</v>
      </c>
      <c r="AO171" s="13">
        <v>0.18738885799999999</v>
      </c>
      <c r="AP171" s="14">
        <v>-0.324643126</v>
      </c>
      <c r="AQ171" s="14">
        <v>0.716373331</v>
      </c>
    </row>
    <row r="172" spans="1:43" x14ac:dyDescent="0.25">
      <c r="A172" s="15" t="s">
        <v>16</v>
      </c>
      <c r="B172" s="16" t="e">
        <f>VLOOKUP(Sheet1!D172,Sheet2!A169,1,FALSE)</f>
        <v>#N/A</v>
      </c>
      <c r="C172" s="15" t="s">
        <v>15</v>
      </c>
      <c r="D172" s="15" t="s">
        <v>17</v>
      </c>
      <c r="E172" s="16" t="s">
        <v>29</v>
      </c>
      <c r="F172" s="13">
        <v>6.5488503000000003E-2</v>
      </c>
      <c r="G172" s="13">
        <v>6.6945431999999999E-2</v>
      </c>
      <c r="H172" s="13">
        <v>6.9889031000000004E-2</v>
      </c>
      <c r="I172" s="13">
        <v>7.3126261999999997E-2</v>
      </c>
      <c r="J172" s="13">
        <v>7.4843225999999999E-2</v>
      </c>
      <c r="K172" s="13">
        <v>7.5840677999999995E-2</v>
      </c>
      <c r="L172" s="13">
        <v>7.6485749000000006E-2</v>
      </c>
      <c r="M172" s="13">
        <v>-1.112863E-3</v>
      </c>
      <c r="N172" s="13">
        <v>6.7329460000000001E-3</v>
      </c>
      <c r="O172" s="13">
        <v>1.2738446E-2</v>
      </c>
      <c r="P172" s="13">
        <v>1.8196770000000001E-2</v>
      </c>
      <c r="Q172" s="13">
        <v>2.2334280000000001E-2</v>
      </c>
      <c r="R172" s="13">
        <v>2.5835449999999999E-2</v>
      </c>
      <c r="S172" s="13">
        <v>2.9230460999999999E-2</v>
      </c>
      <c r="T172" s="13">
        <v>0.135920022</v>
      </c>
      <c r="U172" s="13">
        <v>0.13047964500000001</v>
      </c>
      <c r="V172" s="13">
        <v>0.12990795199999999</v>
      </c>
      <c r="W172" s="13">
        <v>0.131733186</v>
      </c>
      <c r="X172" s="13">
        <v>0.130500065</v>
      </c>
      <c r="Y172" s="13">
        <v>0.12834076899999999</v>
      </c>
      <c r="Z172" s="13">
        <v>0.125865643</v>
      </c>
      <c r="AA172" s="13">
        <v>2.9333677999999998E-2</v>
      </c>
      <c r="AB172" s="13">
        <v>3.0477517999999999E-2</v>
      </c>
      <c r="AC172" s="13">
        <v>2.9869724E-2</v>
      </c>
      <c r="AD172" s="13">
        <v>2.9158262000000001E-2</v>
      </c>
      <c r="AE172" s="13">
        <v>3.0451229E-2</v>
      </c>
      <c r="AF172" s="13">
        <v>3.2889438999999999E-2</v>
      </c>
      <c r="AG172" s="13">
        <v>3.4774026E-2</v>
      </c>
      <c r="AH172" s="13">
        <v>0.102913249</v>
      </c>
      <c r="AI172" s="13">
        <v>0.104703924</v>
      </c>
      <c r="AJ172" s="13">
        <v>0.111463433</v>
      </c>
      <c r="AK172" s="13">
        <v>0.118972675</v>
      </c>
      <c r="AL172" s="13">
        <v>0.12114764</v>
      </c>
      <c r="AM172" s="13">
        <v>0.120577985</v>
      </c>
      <c r="AN172" s="13">
        <v>0.119878872</v>
      </c>
      <c r="AO172" s="13">
        <v>0.184176952</v>
      </c>
      <c r="AP172" s="14">
        <v>-0.11386154800000001</v>
      </c>
      <c r="AQ172" s="14">
        <v>0.88365106000000004</v>
      </c>
    </row>
    <row r="173" spans="1:43" x14ac:dyDescent="0.25">
      <c r="A173" s="15" t="s">
        <v>16</v>
      </c>
      <c r="B173" s="16" t="e">
        <f>VLOOKUP(Sheet1!D173,Sheet2!A170,1,FALSE)</f>
        <v>#N/A</v>
      </c>
      <c r="C173" s="15" t="s">
        <v>15</v>
      </c>
      <c r="D173" s="15" t="s">
        <v>192</v>
      </c>
      <c r="E173" s="16" t="s">
        <v>30</v>
      </c>
      <c r="F173" s="13">
        <v>4.1225931E-2</v>
      </c>
      <c r="G173" s="13">
        <v>4.4004778000000001E-2</v>
      </c>
      <c r="H173" s="13">
        <v>5.0162761E-2</v>
      </c>
      <c r="I173" s="13">
        <v>5.8014676000000001E-2</v>
      </c>
      <c r="J173" s="13">
        <v>6.2899707999999999E-2</v>
      </c>
      <c r="K173" s="13">
        <v>6.6050522E-2</v>
      </c>
      <c r="L173" s="13">
        <v>6.8208656000000006E-2</v>
      </c>
      <c r="M173" s="13">
        <v>-1.4472288999999999E-2</v>
      </c>
      <c r="N173" s="13">
        <v>-5.5914149999999998E-3</v>
      </c>
      <c r="O173" s="13">
        <v>6.0769960000000003E-3</v>
      </c>
      <c r="P173" s="13">
        <v>1.8184096E-2</v>
      </c>
      <c r="Q173" s="13">
        <v>2.6512693E-2</v>
      </c>
      <c r="R173" s="13">
        <v>3.2276640000000002E-2</v>
      </c>
      <c r="S173" s="13">
        <v>3.6395039999999997E-2</v>
      </c>
      <c r="T173" s="13">
        <v>0.10090627200000001</v>
      </c>
      <c r="U173" s="13">
        <v>9.5730231999999998E-2</v>
      </c>
      <c r="V173" s="13">
        <v>9.6393409999999999E-2</v>
      </c>
      <c r="W173" s="13">
        <v>9.8821613000000003E-2</v>
      </c>
      <c r="X173" s="13">
        <v>0.10052685</v>
      </c>
      <c r="Y173" s="13">
        <v>0.100615606</v>
      </c>
      <c r="Z173" s="13">
        <v>0.100474326</v>
      </c>
      <c r="AA173" s="13">
        <v>1.3397208000000001E-2</v>
      </c>
      <c r="AB173" s="13">
        <v>1.8407343E-2</v>
      </c>
      <c r="AC173" s="13">
        <v>2.3712026000000001E-2</v>
      </c>
      <c r="AD173" s="13">
        <v>3.1102790000000002E-2</v>
      </c>
      <c r="AE173" s="13">
        <v>3.5912784000000003E-2</v>
      </c>
      <c r="AF173" s="13">
        <v>3.9955086000000001E-2</v>
      </c>
      <c r="AG173" s="13">
        <v>4.4013333000000002E-2</v>
      </c>
      <c r="AH173" s="13">
        <v>6.9818853E-2</v>
      </c>
      <c r="AI173" s="13">
        <v>7.0245599000000006E-2</v>
      </c>
      <c r="AJ173" s="13">
        <v>7.7296931999999999E-2</v>
      </c>
      <c r="AK173" s="13">
        <v>8.5628997999999998E-2</v>
      </c>
      <c r="AL173" s="13">
        <v>9.0589681000000005E-2</v>
      </c>
      <c r="AM173" s="13">
        <v>9.2800767000000006E-2</v>
      </c>
      <c r="AN173" s="13">
        <v>9.2964716000000003E-2</v>
      </c>
      <c r="AO173" s="13">
        <v>0.161742686</v>
      </c>
      <c r="AP173" s="14">
        <v>-0.15192478600000001</v>
      </c>
      <c r="AQ173" s="14">
        <v>0.86543230999999998</v>
      </c>
    </row>
    <row r="174" spans="1:43" x14ac:dyDescent="0.25">
      <c r="A174" s="15" t="s">
        <v>16</v>
      </c>
      <c r="B174" s="16" t="e">
        <f>VLOOKUP(Sheet1!D174,Sheet2!A171,1,FALSE)</f>
        <v>#N/A</v>
      </c>
      <c r="C174" s="15" t="s">
        <v>15</v>
      </c>
      <c r="D174" s="15" t="s">
        <v>18</v>
      </c>
      <c r="E174" s="16" t="s">
        <v>31</v>
      </c>
      <c r="F174" s="13">
        <v>5.3879905999999998E-2</v>
      </c>
      <c r="G174" s="13">
        <v>5.7106628E-2</v>
      </c>
      <c r="H174" s="13">
        <v>6.4345102000000001E-2</v>
      </c>
      <c r="I174" s="13">
        <v>7.3736322000000007E-2</v>
      </c>
      <c r="J174" s="13">
        <v>7.9673158999999993E-2</v>
      </c>
      <c r="K174" s="13">
        <v>8.3537817E-2</v>
      </c>
      <c r="L174" s="13">
        <v>8.6197511000000004E-2</v>
      </c>
      <c r="M174" s="13">
        <v>-1.5521419999999999E-2</v>
      </c>
      <c r="N174" s="13">
        <v>-3.2764890000000001E-3</v>
      </c>
      <c r="O174" s="13">
        <v>9.9109690000000004E-3</v>
      </c>
      <c r="P174" s="13">
        <v>2.6527696999999999E-2</v>
      </c>
      <c r="Q174" s="13">
        <v>3.6818620000000003E-2</v>
      </c>
      <c r="R174" s="13">
        <v>4.3735229E-2</v>
      </c>
      <c r="S174" s="13">
        <v>4.9200119E-2</v>
      </c>
      <c r="T174" s="13">
        <v>0.129371244</v>
      </c>
      <c r="U174" s="13">
        <v>0.121824604</v>
      </c>
      <c r="V174" s="13">
        <v>0.121037404</v>
      </c>
      <c r="W174" s="13">
        <v>0.12342647299999999</v>
      </c>
      <c r="X174" s="13">
        <v>0.124547071</v>
      </c>
      <c r="Y174" s="13">
        <v>0.124516881</v>
      </c>
      <c r="Z174" s="13">
        <v>0.124466599</v>
      </c>
      <c r="AA174" s="13">
        <v>2.6168429999999999E-2</v>
      </c>
      <c r="AB174" s="13">
        <v>2.9703824E-2</v>
      </c>
      <c r="AC174" s="13">
        <v>3.608244E-2</v>
      </c>
      <c r="AD174" s="13">
        <v>4.4977565999999997E-2</v>
      </c>
      <c r="AE174" s="13">
        <v>5.1984831000000002E-2</v>
      </c>
      <c r="AF174" s="13">
        <v>5.6919807000000003E-2</v>
      </c>
      <c r="AG174" s="13">
        <v>6.0910894E-2</v>
      </c>
      <c r="AH174" s="13">
        <v>8.2339728000000001E-2</v>
      </c>
      <c r="AI174" s="13">
        <v>8.5238683999999995E-2</v>
      </c>
      <c r="AJ174" s="13">
        <v>9.3378725999999995E-2</v>
      </c>
      <c r="AK174" s="13">
        <v>0.10328655</v>
      </c>
      <c r="AL174" s="13">
        <v>0.108090249</v>
      </c>
      <c r="AM174" s="13">
        <v>0.11082618800000001</v>
      </c>
      <c r="AN174" s="13">
        <v>0.112086831</v>
      </c>
      <c r="AO174" s="13">
        <v>0.209606133</v>
      </c>
      <c r="AP174" s="14">
        <v>-0.104803338</v>
      </c>
      <c r="AQ174" s="14">
        <v>0.73446381100000002</v>
      </c>
    </row>
    <row r="175" spans="1:43" x14ac:dyDescent="0.25">
      <c r="A175" s="15" t="s">
        <v>16</v>
      </c>
      <c r="B175" s="16" t="e">
        <f>VLOOKUP(Sheet1!D175,Sheet2!A172,1,FALSE)</f>
        <v>#N/A</v>
      </c>
      <c r="C175" s="15" t="s">
        <v>15</v>
      </c>
      <c r="D175" s="15" t="s">
        <v>194</v>
      </c>
      <c r="E175" s="16" t="s">
        <v>33</v>
      </c>
      <c r="F175" s="13">
        <v>4.6496384000000002E-2</v>
      </c>
      <c r="G175" s="13">
        <v>4.9373731999999997E-2</v>
      </c>
      <c r="H175" s="13">
        <v>5.5767826E-2</v>
      </c>
      <c r="I175" s="13">
        <v>6.3953467999999999E-2</v>
      </c>
      <c r="J175" s="13">
        <v>6.9065114999999996E-2</v>
      </c>
      <c r="K175" s="13">
        <v>7.2369220999999997E-2</v>
      </c>
      <c r="L175" s="13">
        <v>7.4634879000000001E-2</v>
      </c>
      <c r="M175" s="13">
        <v>-4.0387866000000001E-2</v>
      </c>
      <c r="N175" s="13">
        <v>-2.9936554000000001E-2</v>
      </c>
      <c r="O175" s="13">
        <v>-1.8184885000000001E-2</v>
      </c>
      <c r="P175" s="13">
        <v>-5.1500000000000001E-3</v>
      </c>
      <c r="Q175" s="13">
        <v>4.014877E-3</v>
      </c>
      <c r="R175" s="13">
        <v>1.1770015E-2</v>
      </c>
      <c r="S175" s="13">
        <v>1.7211759E-2</v>
      </c>
      <c r="T175" s="13">
        <v>0.14152310300000001</v>
      </c>
      <c r="U175" s="13">
        <v>0.134990692</v>
      </c>
      <c r="V175" s="13">
        <v>0.13531046499999999</v>
      </c>
      <c r="W175" s="13">
        <v>0.13856579699999999</v>
      </c>
      <c r="X175" s="13">
        <v>0.138247542</v>
      </c>
      <c r="Y175" s="13">
        <v>0.13681527800000001</v>
      </c>
      <c r="Z175" s="13">
        <v>0.134984143</v>
      </c>
      <c r="AA175" s="13">
        <v>-1.1255807E-2</v>
      </c>
      <c r="AB175" s="13">
        <v>-6.6510349999999996E-3</v>
      </c>
      <c r="AC175" s="13">
        <v>2.1265800000000001E-4</v>
      </c>
      <c r="AD175" s="13">
        <v>1.1393934E-2</v>
      </c>
      <c r="AE175" s="13">
        <v>1.6239119E-2</v>
      </c>
      <c r="AF175" s="13">
        <v>1.9373728E-2</v>
      </c>
      <c r="AG175" s="13">
        <v>2.2707980999999999E-2</v>
      </c>
      <c r="AH175" s="13">
        <v>0.107621862</v>
      </c>
      <c r="AI175" s="13">
        <v>0.10855829</v>
      </c>
      <c r="AJ175" s="13">
        <v>0.114408762</v>
      </c>
      <c r="AK175" s="13">
        <v>0.11924438699999999</v>
      </c>
      <c r="AL175" s="13">
        <v>0.124637107</v>
      </c>
      <c r="AM175" s="13">
        <v>0.12812001200000001</v>
      </c>
      <c r="AN175" s="13">
        <v>0.12919830800000001</v>
      </c>
      <c r="AO175" s="13">
        <v>0.226397457</v>
      </c>
      <c r="AP175" s="14">
        <v>-0.17332373500000001</v>
      </c>
      <c r="AQ175" s="14">
        <v>0.86626742800000001</v>
      </c>
    </row>
    <row r="176" spans="1:43" x14ac:dyDescent="0.25">
      <c r="A176" s="15" t="s">
        <v>16</v>
      </c>
      <c r="B176" s="16" t="e">
        <f>VLOOKUP(Sheet1!D176,Sheet2!A173,1,FALSE)</f>
        <v>#N/A</v>
      </c>
      <c r="C176" s="15" t="s">
        <v>15</v>
      </c>
      <c r="D176" s="15" t="s">
        <v>193</v>
      </c>
      <c r="E176" s="16" t="s">
        <v>34</v>
      </c>
      <c r="F176" s="13">
        <v>6.3933080000000003E-2</v>
      </c>
      <c r="G176" s="13">
        <v>6.5202844999999995E-2</v>
      </c>
      <c r="H176" s="13">
        <v>6.7695195E-2</v>
      </c>
      <c r="I176" s="13">
        <v>7.0291829E-2</v>
      </c>
      <c r="J176" s="13">
        <v>7.1573130999999998E-2</v>
      </c>
      <c r="K176" s="13">
        <v>7.2276065E-2</v>
      </c>
      <c r="L176" s="13">
        <v>7.2714846999999999E-2</v>
      </c>
      <c r="M176" s="13">
        <v>6.9849819999999998E-3</v>
      </c>
      <c r="N176" s="13">
        <v>1.4426069999999999E-2</v>
      </c>
      <c r="O176" s="13">
        <v>1.9657741999999999E-2</v>
      </c>
      <c r="P176" s="13">
        <v>2.4363148000000001E-2</v>
      </c>
      <c r="Q176" s="13">
        <v>2.8519862E-2</v>
      </c>
      <c r="R176" s="13">
        <v>3.1703994999999999E-2</v>
      </c>
      <c r="S176" s="13">
        <v>3.3718888000000002E-2</v>
      </c>
      <c r="T176" s="13">
        <v>0.12416490099999999</v>
      </c>
      <c r="U176" s="13">
        <v>0.118721358</v>
      </c>
      <c r="V176" s="13">
        <v>0.117587918</v>
      </c>
      <c r="W176" s="13">
        <v>0.118311413</v>
      </c>
      <c r="X176" s="13">
        <v>0.117026556</v>
      </c>
      <c r="Y176" s="13">
        <v>0.11478254</v>
      </c>
      <c r="Z176" s="13">
        <v>0.113159642</v>
      </c>
      <c r="AA176" s="13">
        <v>3.6216018000000003E-2</v>
      </c>
      <c r="AB176" s="13">
        <v>3.7811347000000002E-2</v>
      </c>
      <c r="AC176" s="13">
        <v>3.5444848000000001E-2</v>
      </c>
      <c r="AD176" s="13">
        <v>3.3409414999999998E-2</v>
      </c>
      <c r="AE176" s="13">
        <v>3.5477581000000001E-2</v>
      </c>
      <c r="AF176" s="13">
        <v>3.7558184000000001E-2</v>
      </c>
      <c r="AG176" s="13">
        <v>3.8441474000000003E-2</v>
      </c>
      <c r="AH176" s="13">
        <v>9.2391527000000001E-2</v>
      </c>
      <c r="AI176" s="13">
        <v>9.3317302000000005E-2</v>
      </c>
      <c r="AJ176" s="13">
        <v>0.100950025</v>
      </c>
      <c r="AK176" s="13">
        <v>0.108490578</v>
      </c>
      <c r="AL176" s="13">
        <v>0.108926931</v>
      </c>
      <c r="AM176" s="13">
        <v>0.10815564799999999</v>
      </c>
      <c r="AN176" s="13">
        <v>0.108119403</v>
      </c>
      <c r="AO176" s="13">
        <v>0.163682042</v>
      </c>
      <c r="AP176" s="14">
        <v>-0.116292532</v>
      </c>
      <c r="AQ176" s="14">
        <v>0.91022688600000001</v>
      </c>
    </row>
    <row r="177" spans="1:43" x14ac:dyDescent="0.25">
      <c r="A177" s="15" t="s">
        <v>16</v>
      </c>
      <c r="B177" s="16" t="e">
        <f>VLOOKUP(Sheet1!D177,Sheet2!A174,1,FALSE)</f>
        <v>#N/A</v>
      </c>
      <c r="C177" s="15" t="s">
        <v>15</v>
      </c>
      <c r="D177" s="15" t="s">
        <v>171</v>
      </c>
      <c r="E177" s="16" t="s">
        <v>164</v>
      </c>
      <c r="F177" s="13">
        <v>6.3502955999999999E-2</v>
      </c>
      <c r="G177" s="13">
        <v>6.3854665000000005E-2</v>
      </c>
      <c r="H177" s="13">
        <v>6.4133605999999996E-2</v>
      </c>
      <c r="I177" s="13">
        <v>6.3591081999999993E-2</v>
      </c>
      <c r="J177" s="13">
        <v>6.2740505000000002E-2</v>
      </c>
      <c r="K177" s="13">
        <v>6.2004016000000002E-2</v>
      </c>
      <c r="L177" s="13">
        <v>6.1435600999999999E-2</v>
      </c>
      <c r="M177" s="13">
        <v>-7.6202183000000007E-2</v>
      </c>
      <c r="N177" s="13">
        <v>-7.1422362000000003E-2</v>
      </c>
      <c r="O177" s="13">
        <v>-7.9006388999999996E-2</v>
      </c>
      <c r="P177" s="13">
        <v>-8.543502E-2</v>
      </c>
      <c r="Q177" s="13">
        <v>-8.6258771999999997E-2</v>
      </c>
      <c r="R177" s="13">
        <v>-8.3239688000000006E-2</v>
      </c>
      <c r="S177" s="13">
        <v>-7.9515325999999997E-2</v>
      </c>
      <c r="T177" s="13">
        <v>0.22368902099999999</v>
      </c>
      <c r="U177" s="13">
        <v>0.21742657500000001</v>
      </c>
      <c r="V177" s="13">
        <v>0.22887944499999999</v>
      </c>
      <c r="W177" s="13">
        <v>0.237899799</v>
      </c>
      <c r="X177" s="13">
        <v>0.23373206499999999</v>
      </c>
      <c r="Y177" s="13">
        <v>0.23105144799999999</v>
      </c>
      <c r="Z177" s="13">
        <v>0.22379274399999999</v>
      </c>
      <c r="AA177" s="13">
        <v>-4.1489813E-2</v>
      </c>
      <c r="AB177" s="13">
        <v>-5.0065149000000003E-2</v>
      </c>
      <c r="AC177" s="13">
        <v>-6.6190919000000001E-2</v>
      </c>
      <c r="AD177" s="13">
        <v>-7.6602803999999997E-2</v>
      </c>
      <c r="AE177" s="13">
        <v>-7.8741015999999997E-2</v>
      </c>
      <c r="AF177" s="13">
        <v>-8.2507710999999997E-2</v>
      </c>
      <c r="AG177" s="13">
        <v>-7.7099059999999997E-2</v>
      </c>
      <c r="AH177" s="13">
        <v>0.17999636599999999</v>
      </c>
      <c r="AI177" s="13">
        <v>0.19143623600000001</v>
      </c>
      <c r="AJ177" s="13">
        <v>0.21264665899999999</v>
      </c>
      <c r="AK177" s="13">
        <v>0.22506978399999999</v>
      </c>
      <c r="AL177" s="13">
        <v>0.22594993199999999</v>
      </c>
      <c r="AM177" s="13">
        <v>0.22927746199999999</v>
      </c>
      <c r="AN177" s="13">
        <v>0.22076557599999999</v>
      </c>
      <c r="AO177" s="13">
        <v>0.31102570200000001</v>
      </c>
      <c r="AP177" s="14">
        <v>-6.8996118999999995E-2</v>
      </c>
      <c r="AQ177" s="14">
        <v>0.32635173499999998</v>
      </c>
    </row>
    <row r="178" spans="1:43" x14ac:dyDescent="0.25">
      <c r="A178" s="15" t="s">
        <v>16</v>
      </c>
      <c r="B178" s="16" t="e">
        <f>VLOOKUP(Sheet1!D178,Sheet2!A175,1,FALSE)</f>
        <v>#N/A</v>
      </c>
      <c r="C178" s="15" t="s">
        <v>15</v>
      </c>
      <c r="D178" s="15" t="s">
        <v>170</v>
      </c>
      <c r="E178" s="16" t="s">
        <v>165</v>
      </c>
      <c r="F178" s="13">
        <v>5.2900937000000002E-2</v>
      </c>
      <c r="G178" s="13">
        <v>5.6772138999999999E-2</v>
      </c>
      <c r="H178" s="13">
        <v>6.5578975999999997E-2</v>
      </c>
      <c r="I178" s="13">
        <v>7.7229486E-2</v>
      </c>
      <c r="J178" s="13">
        <v>8.4724128999999995E-2</v>
      </c>
      <c r="K178" s="13">
        <v>8.9651386E-2</v>
      </c>
      <c r="L178" s="13">
        <v>9.3059784000000006E-2</v>
      </c>
      <c r="M178" s="13">
        <v>-5.1749055000000002E-2</v>
      </c>
      <c r="N178" s="13">
        <v>-3.9588918000000001E-2</v>
      </c>
      <c r="O178" s="13">
        <v>-2.6520663999999999E-2</v>
      </c>
      <c r="P178" s="13">
        <v>-1.1818488E-2</v>
      </c>
      <c r="Q178" s="13">
        <v>-1.61564E-4</v>
      </c>
      <c r="R178" s="13">
        <v>9.6564279999999999E-3</v>
      </c>
      <c r="S178" s="13">
        <v>1.6973478E-2</v>
      </c>
      <c r="T178" s="13">
        <v>0.16811991500000001</v>
      </c>
      <c r="U178" s="13">
        <v>0.16216626000000001</v>
      </c>
      <c r="V178" s="13">
        <v>0.16648523600000001</v>
      </c>
      <c r="W178" s="13">
        <v>0.17285584900000001</v>
      </c>
      <c r="X178" s="13">
        <v>0.175582654</v>
      </c>
      <c r="Y178" s="13">
        <v>0.175982954</v>
      </c>
      <c r="Z178" s="13">
        <v>0.17513036200000001</v>
      </c>
      <c r="AA178" s="13">
        <v>-1.2774934999999999E-2</v>
      </c>
      <c r="AB178" s="13">
        <v>-1.1086489E-2</v>
      </c>
      <c r="AC178" s="13">
        <v>-9.5617159999999996E-3</v>
      </c>
      <c r="AD178" s="13">
        <v>-2.4268799999999999E-4</v>
      </c>
      <c r="AE178" s="13">
        <v>9.9895899999999996E-3</v>
      </c>
      <c r="AF178" s="13">
        <v>1.7472181999999999E-2</v>
      </c>
      <c r="AG178" s="13">
        <v>2.4793943999999998E-2</v>
      </c>
      <c r="AH178" s="13">
        <v>0.122945948</v>
      </c>
      <c r="AI178" s="13">
        <v>0.129287184</v>
      </c>
      <c r="AJ178" s="13">
        <v>0.146420307</v>
      </c>
      <c r="AK178" s="13">
        <v>0.16070505500000001</v>
      </c>
      <c r="AL178" s="13">
        <v>0.16498868</v>
      </c>
      <c r="AM178" s="13">
        <v>0.16695096500000001</v>
      </c>
      <c r="AN178" s="13">
        <v>0.16587319</v>
      </c>
      <c r="AO178" s="13">
        <v>0.27259144400000002</v>
      </c>
      <c r="AP178" s="14">
        <v>-0.11995194300000001</v>
      </c>
      <c r="AQ178" s="14">
        <v>0.50303431899999995</v>
      </c>
    </row>
    <row r="179" spans="1:43" x14ac:dyDescent="0.25">
      <c r="A179" s="15" t="s">
        <v>16</v>
      </c>
      <c r="B179" s="16" t="e">
        <f>VLOOKUP(Sheet1!D179,Sheet2!A176,1,FALSE)</f>
        <v>#N/A</v>
      </c>
      <c r="C179" s="15" t="s">
        <v>20</v>
      </c>
      <c r="D179" s="15" t="s">
        <v>189</v>
      </c>
      <c r="E179" s="16" t="s">
        <v>35</v>
      </c>
      <c r="F179" s="13">
        <v>-1.1530589999999999E-3</v>
      </c>
      <c r="G179" s="13">
        <v>1.55671E-3</v>
      </c>
      <c r="H179" s="13">
        <v>7.5709059999999996E-3</v>
      </c>
      <c r="I179" s="13">
        <v>1.5256497000000001E-2</v>
      </c>
      <c r="J179" s="13">
        <v>2.0047938000000001E-2</v>
      </c>
      <c r="K179" s="13">
        <v>2.3142097E-2</v>
      </c>
      <c r="L179" s="13">
        <v>2.5262739999999999E-2</v>
      </c>
      <c r="M179" s="13">
        <v>-1.5444779E-2</v>
      </c>
      <c r="N179" s="13">
        <v>-1.130197E-2</v>
      </c>
      <c r="O179" s="13">
        <v>-4.8843009999999997E-3</v>
      </c>
      <c r="P179" s="13">
        <v>2.8931349999999998E-3</v>
      </c>
      <c r="Q179" s="13">
        <v>8.2048980000000004E-3</v>
      </c>
      <c r="R179" s="13">
        <v>1.1840882E-2</v>
      </c>
      <c r="S179" s="13">
        <v>1.4421893999999999E-2</v>
      </c>
      <c r="T179" s="13">
        <v>1.3633737E-2</v>
      </c>
      <c r="U179" s="13">
        <v>1.4720847E-2</v>
      </c>
      <c r="V179" s="13">
        <v>2.0247688E-2</v>
      </c>
      <c r="W179" s="13">
        <v>2.7738301999999999E-2</v>
      </c>
      <c r="X179" s="13">
        <v>3.2304421999999999E-2</v>
      </c>
      <c r="Y179" s="13">
        <v>3.4759961999999998E-2</v>
      </c>
      <c r="Z179" s="13">
        <v>3.6338491000000001E-2</v>
      </c>
      <c r="AA179" s="13">
        <v>-8.478902E-3</v>
      </c>
      <c r="AB179" s="13">
        <v>-6.2297359999999996E-3</v>
      </c>
      <c r="AC179" s="13">
        <v>-1.2159289999999999E-3</v>
      </c>
      <c r="AD179" s="13">
        <v>5.3615340000000003E-3</v>
      </c>
      <c r="AE179" s="13">
        <v>1.0231120999999999E-2</v>
      </c>
      <c r="AF179" s="13">
        <v>1.3760644000000001E-2</v>
      </c>
      <c r="AG179" s="13">
        <v>1.6170324E-2</v>
      </c>
      <c r="AH179" s="13">
        <v>6.2269100000000004E-3</v>
      </c>
      <c r="AI179" s="13">
        <v>9.4041650000000008E-3</v>
      </c>
      <c r="AJ179" s="13">
        <v>1.6435043999999999E-2</v>
      </c>
      <c r="AK179" s="13">
        <v>2.5248848000000001E-2</v>
      </c>
      <c r="AL179" s="13">
        <v>2.9960152E-2</v>
      </c>
      <c r="AM179" s="13">
        <v>3.2610368000000001E-2</v>
      </c>
      <c r="AN179" s="13">
        <v>3.4436516E-2</v>
      </c>
      <c r="AO179" s="13">
        <v>4.2376736999999998E-2</v>
      </c>
      <c r="AP179" s="14">
        <v>0.75973707400000001</v>
      </c>
      <c r="AQ179" s="14">
        <v>-0.11468248</v>
      </c>
    </row>
    <row r="180" spans="1:43" x14ac:dyDescent="0.25">
      <c r="A180" s="15" t="s">
        <v>16</v>
      </c>
      <c r="B180" s="16" t="e">
        <f>VLOOKUP(Sheet1!D180,Sheet2!A177,1,FALSE)</f>
        <v>#N/A</v>
      </c>
      <c r="C180" s="15" t="s">
        <v>20</v>
      </c>
      <c r="D180" s="15" t="s">
        <v>198</v>
      </c>
      <c r="E180" s="16" t="s">
        <v>36</v>
      </c>
      <c r="F180" s="13">
        <v>1.4862790000000001E-3</v>
      </c>
      <c r="G180" s="13">
        <v>3.5934259999999998E-3</v>
      </c>
      <c r="H180" s="13">
        <v>8.1449439999999994E-3</v>
      </c>
      <c r="I180" s="13">
        <v>1.3733542E-2</v>
      </c>
      <c r="J180" s="13">
        <v>1.7086080999999999E-2</v>
      </c>
      <c r="K180" s="13">
        <v>1.9202055999999999E-2</v>
      </c>
      <c r="L180" s="13">
        <v>2.0635105000000001E-2</v>
      </c>
      <c r="M180" s="13">
        <v>-1.0542315E-2</v>
      </c>
      <c r="N180" s="13">
        <v>-7.8593559999999996E-3</v>
      </c>
      <c r="O180" s="13">
        <v>-2.6250990000000001E-3</v>
      </c>
      <c r="P180" s="13">
        <v>3.709347E-3</v>
      </c>
      <c r="Q180" s="13">
        <v>7.689792E-3</v>
      </c>
      <c r="R180" s="13">
        <v>1.0338318000000001E-2</v>
      </c>
      <c r="S180" s="13">
        <v>1.2236425E-2</v>
      </c>
      <c r="T180" s="13">
        <v>1.3818212E-2</v>
      </c>
      <c r="U180" s="13">
        <v>1.5209594999999999E-2</v>
      </c>
      <c r="V180" s="13">
        <v>1.8898574000000001E-2</v>
      </c>
      <c r="W180" s="13">
        <v>2.3762536000000001E-2</v>
      </c>
      <c r="X180" s="13">
        <v>2.655923E-2</v>
      </c>
      <c r="Y180" s="13">
        <v>2.8127923999999999E-2</v>
      </c>
      <c r="Z180" s="13">
        <v>2.9110958999999999E-2</v>
      </c>
      <c r="AA180" s="13">
        <v>-9.9878450000000004E-3</v>
      </c>
      <c r="AB180" s="13">
        <v>-7.8810379999999999E-3</v>
      </c>
      <c r="AC180" s="13">
        <v>-2.3608549999999998E-3</v>
      </c>
      <c r="AD180" s="13">
        <v>4.1349869999999997E-3</v>
      </c>
      <c r="AE180" s="13">
        <v>8.4835050000000006E-3</v>
      </c>
      <c r="AF180" s="13">
        <v>1.0869413E-2</v>
      </c>
      <c r="AG180" s="13">
        <v>1.2625347E-2</v>
      </c>
      <c r="AH180" s="13">
        <v>1.3093387999999999E-2</v>
      </c>
      <c r="AI180" s="13">
        <v>1.5200597999999999E-2</v>
      </c>
      <c r="AJ180" s="13">
        <v>1.8761376E-2</v>
      </c>
      <c r="AK180" s="13">
        <v>2.342385E-2</v>
      </c>
      <c r="AL180" s="13">
        <v>2.576204E-2</v>
      </c>
      <c r="AM180" s="13">
        <v>2.7603386000000001E-2</v>
      </c>
      <c r="AN180" s="13">
        <v>2.8708219E-2</v>
      </c>
      <c r="AO180" s="13">
        <v>1.4895017E-2</v>
      </c>
      <c r="AP180" s="14">
        <v>0.35206163699999998</v>
      </c>
      <c r="AQ180" s="14">
        <v>-0.26345859799999999</v>
      </c>
    </row>
    <row r="181" spans="1:43" x14ac:dyDescent="0.25">
      <c r="A181" s="15" t="s">
        <v>16</v>
      </c>
      <c r="B181" s="16" t="e">
        <f>VLOOKUP(Sheet1!D181,Sheet2!A178,1,FALSE)</f>
        <v>#N/A</v>
      </c>
      <c r="C181" s="15" t="s">
        <v>20</v>
      </c>
      <c r="D181" s="15" t="s">
        <v>186</v>
      </c>
      <c r="E181" s="16" t="s">
        <v>37</v>
      </c>
      <c r="F181" s="13">
        <v>-1.238013E-3</v>
      </c>
      <c r="G181" s="13">
        <v>2.2418640000000001E-3</v>
      </c>
      <c r="H181" s="13">
        <v>1.0127796999999999E-2</v>
      </c>
      <c r="I181" s="13">
        <v>2.0504451E-2</v>
      </c>
      <c r="J181" s="13">
        <v>2.7148045999999999E-2</v>
      </c>
      <c r="K181" s="13">
        <v>3.1504098000000001E-2</v>
      </c>
      <c r="L181" s="13">
        <v>3.4513178999999998E-2</v>
      </c>
      <c r="M181" s="13">
        <v>-2.3582194000000001E-2</v>
      </c>
      <c r="N181" s="13">
        <v>-1.7599126E-2</v>
      </c>
      <c r="O181" s="13">
        <v>-8.8251479999999997E-3</v>
      </c>
      <c r="P181" s="13">
        <v>2.0227040000000002E-3</v>
      </c>
      <c r="Q181" s="13">
        <v>9.3975770000000007E-3</v>
      </c>
      <c r="R181" s="13">
        <v>1.4576125000000001E-2</v>
      </c>
      <c r="S181" s="13">
        <v>1.8362065E-2</v>
      </c>
      <c r="T181" s="13">
        <v>2.1671803999999999E-2</v>
      </c>
      <c r="U181" s="13">
        <v>2.2471562E-2</v>
      </c>
      <c r="V181" s="13">
        <v>2.9386888E-2</v>
      </c>
      <c r="W181" s="13">
        <v>3.9578950000000002E-2</v>
      </c>
      <c r="X181" s="13">
        <v>4.5293813000000002E-2</v>
      </c>
      <c r="Y181" s="13">
        <v>4.8854442999999997E-2</v>
      </c>
      <c r="Z181" s="13">
        <v>5.0946191000000002E-2</v>
      </c>
      <c r="AA181" s="13">
        <v>-1.1456641E-2</v>
      </c>
      <c r="AB181" s="13">
        <v>-8.5879630000000005E-3</v>
      </c>
      <c r="AC181" s="13">
        <v>-2.9650940000000001E-3</v>
      </c>
      <c r="AD181" s="13">
        <v>7.201079E-3</v>
      </c>
      <c r="AE181" s="13">
        <v>1.3359938E-2</v>
      </c>
      <c r="AF181" s="13">
        <v>1.784115E-2</v>
      </c>
      <c r="AG181" s="13">
        <v>2.1473850999999999E-2</v>
      </c>
      <c r="AH181" s="13">
        <v>9.0862449999999997E-3</v>
      </c>
      <c r="AI181" s="13">
        <v>1.3189993000000001E-2</v>
      </c>
      <c r="AJ181" s="13">
        <v>2.3392620999999999E-2</v>
      </c>
      <c r="AK181" s="13">
        <v>3.3983538000000001E-2</v>
      </c>
      <c r="AL181" s="13">
        <v>4.1123762000000001E-2</v>
      </c>
      <c r="AM181" s="13">
        <v>4.5350451E-2</v>
      </c>
      <c r="AN181" s="13">
        <v>4.7718957999999999E-2</v>
      </c>
      <c r="AO181" s="13">
        <v>6.8086591000000002E-2</v>
      </c>
      <c r="AP181" s="14">
        <v>0.63065418299999998</v>
      </c>
      <c r="AQ181" s="14">
        <v>0.18379627500000001</v>
      </c>
    </row>
    <row r="182" spans="1:43" x14ac:dyDescent="0.25">
      <c r="A182" s="15" t="s">
        <v>16</v>
      </c>
      <c r="B182" s="16" t="e">
        <f>VLOOKUP(Sheet1!D182,Sheet2!A179,1,FALSE)</f>
        <v>#N/A</v>
      </c>
      <c r="C182" s="15" t="s">
        <v>20</v>
      </c>
      <c r="D182" s="15" t="s">
        <v>187</v>
      </c>
      <c r="E182" s="16" t="s">
        <v>167</v>
      </c>
      <c r="F182" s="13">
        <v>-1.0177627999999999E-2</v>
      </c>
      <c r="G182" s="13">
        <v>-5.214865E-3</v>
      </c>
      <c r="H182" s="13">
        <v>6.294577E-3</v>
      </c>
      <c r="I182" s="13">
        <v>2.1924492E-2</v>
      </c>
      <c r="J182" s="13">
        <v>3.2211858000000003E-2</v>
      </c>
      <c r="K182" s="13">
        <v>3.9062945000000002E-2</v>
      </c>
      <c r="L182" s="13">
        <v>4.3834474999999998E-2</v>
      </c>
      <c r="M182" s="13">
        <v>-5.2971249999999998E-2</v>
      </c>
      <c r="N182" s="13">
        <v>-4.3871498000000002E-2</v>
      </c>
      <c r="O182" s="13">
        <v>-3.0772436E-2</v>
      </c>
      <c r="P182" s="13">
        <v>-1.4515068000000001E-2</v>
      </c>
      <c r="Q182" s="13">
        <v>-3.6813570000000001E-3</v>
      </c>
      <c r="R182" s="13">
        <v>4.7051610000000002E-3</v>
      </c>
      <c r="S182" s="13">
        <v>1.1320769E-2</v>
      </c>
      <c r="T182" s="13">
        <v>3.4160464000000001E-2</v>
      </c>
      <c r="U182" s="13">
        <v>3.4354768000000001E-2</v>
      </c>
      <c r="V182" s="13">
        <v>4.4663148999999999E-2</v>
      </c>
      <c r="W182" s="13">
        <v>5.9801074000000003E-2</v>
      </c>
      <c r="X182" s="13">
        <v>6.8904629999999994E-2</v>
      </c>
      <c r="Y182" s="13">
        <v>7.4215497000000005E-2</v>
      </c>
      <c r="Z182" s="13">
        <v>7.7415638999999994E-2</v>
      </c>
      <c r="AA182" s="13">
        <v>-3.1199194E-2</v>
      </c>
      <c r="AB182" s="13">
        <v>-2.8153982000000001E-2</v>
      </c>
      <c r="AC182" s="13">
        <v>-1.9710908999999999E-2</v>
      </c>
      <c r="AD182" s="13">
        <v>-6.177363E-3</v>
      </c>
      <c r="AE182" s="13">
        <v>4.5275300000000001E-3</v>
      </c>
      <c r="AF182" s="13">
        <v>1.0981648E-2</v>
      </c>
      <c r="AG182" s="13">
        <v>1.6680803000000001E-2</v>
      </c>
      <c r="AH182" s="13">
        <v>1.1300078999999999E-2</v>
      </c>
      <c r="AI182" s="13">
        <v>1.8265722000000002E-2</v>
      </c>
      <c r="AJ182" s="13">
        <v>3.2989946999999999E-2</v>
      </c>
      <c r="AK182" s="13">
        <v>5.0820979000000002E-2</v>
      </c>
      <c r="AL182" s="13">
        <v>6.0659170999999998E-2</v>
      </c>
      <c r="AM182" s="13">
        <v>6.7924240999999996E-2</v>
      </c>
      <c r="AN182" s="13">
        <v>7.1713547000000002E-2</v>
      </c>
      <c r="AO182" s="13">
        <v>0.12830619400000001</v>
      </c>
      <c r="AP182" s="14">
        <v>0.58729911199999996</v>
      </c>
      <c r="AQ182" s="14">
        <v>0.244910672</v>
      </c>
    </row>
    <row r="183" spans="1:43" x14ac:dyDescent="0.25">
      <c r="A183" s="15" t="s">
        <v>16</v>
      </c>
      <c r="B183" s="16" t="e">
        <f>VLOOKUP(Sheet1!D183,Sheet2!A180,1,FALSE)</f>
        <v>#N/A</v>
      </c>
      <c r="C183" s="15" t="s">
        <v>20</v>
      </c>
      <c r="D183" s="15" t="s">
        <v>183</v>
      </c>
      <c r="E183" s="16" t="s">
        <v>38</v>
      </c>
      <c r="F183" s="13">
        <v>-4.5879980000000002E-3</v>
      </c>
      <c r="G183" s="13">
        <v>-2.0962009999999998E-3</v>
      </c>
      <c r="H183" s="13">
        <v>3.3910390000000002E-3</v>
      </c>
      <c r="I183" s="13">
        <v>1.0324385E-2</v>
      </c>
      <c r="J183" s="13">
        <v>1.460119E-2</v>
      </c>
      <c r="K183" s="13">
        <v>1.7345943999999999E-2</v>
      </c>
      <c r="L183" s="13">
        <v>1.9221093000000002E-2</v>
      </c>
      <c r="M183" s="13">
        <v>-2.3313029999999998E-2</v>
      </c>
      <c r="N183" s="13">
        <v>-1.8733749000000001E-2</v>
      </c>
      <c r="O183" s="13">
        <v>-1.246648E-2</v>
      </c>
      <c r="P183" s="13">
        <v>-5.192917E-3</v>
      </c>
      <c r="Q183" s="13">
        <v>-3.0769199999999998E-4</v>
      </c>
      <c r="R183" s="13">
        <v>2.9783100000000001E-3</v>
      </c>
      <c r="S183" s="13">
        <v>5.5672430000000004E-3</v>
      </c>
      <c r="T183" s="13">
        <v>1.4256603E-2</v>
      </c>
      <c r="U183" s="13">
        <v>1.4811850999999999E-2</v>
      </c>
      <c r="V183" s="13">
        <v>1.9485717999999999E-2</v>
      </c>
      <c r="W183" s="13">
        <v>2.6110982000000001E-2</v>
      </c>
      <c r="X183" s="13">
        <v>2.9888647000000001E-2</v>
      </c>
      <c r="Y183" s="13">
        <v>3.2038029000000003E-2</v>
      </c>
      <c r="Z183" s="13">
        <v>3.3073388000000002E-2</v>
      </c>
      <c r="AA183" s="13">
        <v>-1.3578322E-2</v>
      </c>
      <c r="AB183" s="13">
        <v>-1.1359133E-2</v>
      </c>
      <c r="AC183" s="13">
        <v>-7.9035459999999991E-3</v>
      </c>
      <c r="AD183" s="13">
        <v>-2.3125039999999999E-3</v>
      </c>
      <c r="AE183" s="13">
        <v>2.3161430000000001E-3</v>
      </c>
      <c r="AF183" s="13">
        <v>5.2318709999999999E-3</v>
      </c>
      <c r="AG183" s="13">
        <v>7.6414370000000001E-3</v>
      </c>
      <c r="AH183" s="13">
        <v>4.4842650000000003E-3</v>
      </c>
      <c r="AI183" s="13">
        <v>7.2535189999999999E-3</v>
      </c>
      <c r="AJ183" s="13">
        <v>1.4814211000000001E-2</v>
      </c>
      <c r="AK183" s="13">
        <v>2.3121335E-2</v>
      </c>
      <c r="AL183" s="13">
        <v>2.7036812E-2</v>
      </c>
      <c r="AM183" s="13">
        <v>2.9606006000000001E-2</v>
      </c>
      <c r="AN183" s="13">
        <v>3.0933822E-2</v>
      </c>
      <c r="AO183" s="13">
        <v>5.5067861000000003E-2</v>
      </c>
      <c r="AP183" s="14">
        <v>0.76728138999999995</v>
      </c>
      <c r="AQ183" s="14">
        <v>-0.37844720100000001</v>
      </c>
    </row>
    <row r="184" spans="1:43" x14ac:dyDescent="0.25">
      <c r="A184" s="15" t="s">
        <v>16</v>
      </c>
      <c r="B184" s="16" t="e">
        <f>VLOOKUP(Sheet1!D184,Sheet2!A181,1,FALSE)</f>
        <v>#N/A</v>
      </c>
      <c r="C184" s="15" t="s">
        <v>20</v>
      </c>
      <c r="D184" s="15" t="s">
        <v>184</v>
      </c>
      <c r="E184" s="16" t="s">
        <v>162</v>
      </c>
      <c r="F184" s="13">
        <v>-2.772223E-2</v>
      </c>
      <c r="G184" s="13">
        <v>-2.4090588999999999E-2</v>
      </c>
      <c r="H184" s="13">
        <v>-1.581962E-2</v>
      </c>
      <c r="I184" s="13">
        <v>-4.8614130000000002E-3</v>
      </c>
      <c r="J184" s="13">
        <v>2.1973320000000002E-3</v>
      </c>
      <c r="K184" s="13">
        <v>6.8415209999999997E-3</v>
      </c>
      <c r="L184" s="13">
        <v>1.0055372999999999E-2</v>
      </c>
      <c r="M184" s="13">
        <v>-8.0156765000000005E-2</v>
      </c>
      <c r="N184" s="13">
        <v>-7.1010917000000007E-2</v>
      </c>
      <c r="O184" s="13">
        <v>-6.1192690000000001E-2</v>
      </c>
      <c r="P184" s="13">
        <v>-4.9345806999999998E-2</v>
      </c>
      <c r="Q184" s="13">
        <v>-4.0948990999999997E-2</v>
      </c>
      <c r="R184" s="13">
        <v>-3.4558389000000002E-2</v>
      </c>
      <c r="S184" s="13">
        <v>-2.9866813999999998E-2</v>
      </c>
      <c r="T184" s="13">
        <v>2.6615812999999999E-2</v>
      </c>
      <c r="U184" s="13">
        <v>2.5779052E-2</v>
      </c>
      <c r="V184" s="13">
        <v>3.2057685000000002E-2</v>
      </c>
      <c r="W184" s="13">
        <v>4.2557267000000003E-2</v>
      </c>
      <c r="X184" s="13">
        <v>4.7431262000000002E-2</v>
      </c>
      <c r="Y184" s="13">
        <v>5.0380006999999997E-2</v>
      </c>
      <c r="Z184" s="13">
        <v>5.1493689000000002E-2</v>
      </c>
      <c r="AA184" s="13">
        <v>-5.6945470999999998E-2</v>
      </c>
      <c r="AB184" s="13">
        <v>-5.4173367E-2</v>
      </c>
      <c r="AC184" s="13">
        <v>-5.0714888999999999E-2</v>
      </c>
      <c r="AD184" s="13">
        <v>-4.3808870999999999E-2</v>
      </c>
      <c r="AE184" s="13">
        <v>-3.5750183999999997E-2</v>
      </c>
      <c r="AF184" s="13">
        <v>-3.0054082999999999E-2</v>
      </c>
      <c r="AG184" s="13">
        <v>-2.6485109999999999E-2</v>
      </c>
      <c r="AH184" s="13">
        <v>2.4065760000000001E-3</v>
      </c>
      <c r="AI184" s="13">
        <v>6.9489959999999998E-3</v>
      </c>
      <c r="AJ184" s="13">
        <v>2.0358385999999999E-2</v>
      </c>
      <c r="AK184" s="13">
        <v>3.5672532999999999E-2</v>
      </c>
      <c r="AL184" s="13">
        <v>4.1638255999999998E-2</v>
      </c>
      <c r="AM184" s="13">
        <v>4.5140593E-2</v>
      </c>
      <c r="AN184" s="13">
        <v>4.7967388999999999E-2</v>
      </c>
      <c r="AO184" s="13">
        <v>0.15196783</v>
      </c>
      <c r="AP184" s="14">
        <v>0.76620525399999995</v>
      </c>
      <c r="AQ184" s="14">
        <v>-0.31409516399999998</v>
      </c>
    </row>
    <row r="185" spans="1:43" x14ac:dyDescent="0.25">
      <c r="A185" s="15" t="s">
        <v>16</v>
      </c>
      <c r="B185" s="16" t="e">
        <f>VLOOKUP(Sheet1!D185,Sheet2!A182,1,FALSE)</f>
        <v>#N/A</v>
      </c>
      <c r="C185" s="15" t="s">
        <v>20</v>
      </c>
      <c r="D185" s="15" t="s">
        <v>21</v>
      </c>
      <c r="E185" s="16" t="s">
        <v>39</v>
      </c>
      <c r="F185" s="13">
        <v>2.8047928E-2</v>
      </c>
      <c r="G185" s="13">
        <v>3.0482743999999999E-2</v>
      </c>
      <c r="H185" s="13">
        <v>3.5813600000000001E-2</v>
      </c>
      <c r="I185" s="13">
        <v>4.2492623E-2</v>
      </c>
      <c r="J185" s="13">
        <v>4.6579398000000001E-2</v>
      </c>
      <c r="K185" s="13">
        <v>4.9189707999999999E-2</v>
      </c>
      <c r="L185" s="13">
        <v>5.0968595999999998E-2</v>
      </c>
      <c r="M185" s="13">
        <v>-1.4830944E-2</v>
      </c>
      <c r="N185" s="13">
        <v>-9.7813469999999993E-3</v>
      </c>
      <c r="O185" s="13">
        <v>-3.9423669999999996E-3</v>
      </c>
      <c r="P185" s="13">
        <v>3.1396089999999998E-3</v>
      </c>
      <c r="Q185" s="13">
        <v>8.6562930000000007E-3</v>
      </c>
      <c r="R185" s="13">
        <v>1.314714E-2</v>
      </c>
      <c r="S185" s="13">
        <v>1.6184714999999999E-2</v>
      </c>
      <c r="T185" s="13">
        <v>7.3180542000000001E-2</v>
      </c>
      <c r="U185" s="13">
        <v>7.2591684000000004E-2</v>
      </c>
      <c r="V185" s="13">
        <v>7.7052524999999997E-2</v>
      </c>
      <c r="W185" s="13">
        <v>8.3515803999999999E-2</v>
      </c>
      <c r="X185" s="13">
        <v>8.5843386999999993E-2</v>
      </c>
      <c r="Y185" s="13">
        <v>8.6769716999999996E-2</v>
      </c>
      <c r="Z185" s="13">
        <v>8.6884729999999993E-2</v>
      </c>
      <c r="AA185" s="13">
        <v>-1.0931669999999999E-3</v>
      </c>
      <c r="AB185" s="13">
        <v>-1.3108E-4</v>
      </c>
      <c r="AC185" s="13">
        <v>2.5820510000000001E-3</v>
      </c>
      <c r="AD185" s="13">
        <v>7.1471470000000004E-3</v>
      </c>
      <c r="AE185" s="13">
        <v>1.1301719999999999E-2</v>
      </c>
      <c r="AF185" s="13">
        <v>1.5121813E-2</v>
      </c>
      <c r="AG185" s="13">
        <v>1.8063921E-2</v>
      </c>
      <c r="AH185" s="13">
        <v>5.8039155000000002E-2</v>
      </c>
      <c r="AI185" s="13">
        <v>6.2033904000000001E-2</v>
      </c>
      <c r="AJ185" s="13">
        <v>7.0146640999999996E-2</v>
      </c>
      <c r="AK185" s="13">
        <v>7.9078537000000004E-2</v>
      </c>
      <c r="AL185" s="13">
        <v>8.3087685999999994E-2</v>
      </c>
      <c r="AM185" s="13">
        <v>8.4400939999999994E-2</v>
      </c>
      <c r="AN185" s="13">
        <v>8.4936795999999995E-2</v>
      </c>
      <c r="AO185" s="13">
        <v>0.103279335</v>
      </c>
      <c r="AP185" s="14">
        <v>0.37336162899999997</v>
      </c>
      <c r="AQ185" s="14">
        <v>0.42282339899999999</v>
      </c>
    </row>
    <row r="186" spans="1:43" x14ac:dyDescent="0.25">
      <c r="A186" s="15" t="s">
        <v>16</v>
      </c>
      <c r="B186" s="16" t="e">
        <f>VLOOKUP(Sheet1!D186,Sheet2!A183,1,FALSE)</f>
        <v>#N/A</v>
      </c>
      <c r="C186" s="15" t="s">
        <v>20</v>
      </c>
      <c r="D186" s="15" t="s">
        <v>188</v>
      </c>
      <c r="E186" s="16" t="s">
        <v>40</v>
      </c>
      <c r="F186" s="13">
        <v>3.8888831999999998E-2</v>
      </c>
      <c r="G186" s="13">
        <v>4.0274309000000001E-2</v>
      </c>
      <c r="H186" s="13">
        <v>4.3059668000000002E-2</v>
      </c>
      <c r="I186" s="13">
        <v>4.6095456E-2</v>
      </c>
      <c r="J186" s="13">
        <v>4.7687352000000002E-2</v>
      </c>
      <c r="K186" s="13">
        <v>4.8604270999999998E-2</v>
      </c>
      <c r="L186" s="13">
        <v>4.9194250000000002E-2</v>
      </c>
      <c r="M186" s="13">
        <v>6.5025589999999998E-3</v>
      </c>
      <c r="N186" s="13">
        <v>1.0384433E-2</v>
      </c>
      <c r="O186" s="13">
        <v>1.4031706E-2</v>
      </c>
      <c r="P186" s="13">
        <v>1.7760125000000002E-2</v>
      </c>
      <c r="Q186" s="13">
        <v>2.1061204E-2</v>
      </c>
      <c r="R186" s="13">
        <v>2.3122218E-2</v>
      </c>
      <c r="S186" s="13">
        <v>2.4986332E-2</v>
      </c>
      <c r="T186" s="13">
        <v>7.2337035999999993E-2</v>
      </c>
      <c r="U186" s="13">
        <v>7.1060933000000007E-2</v>
      </c>
      <c r="V186" s="13">
        <v>7.2827843000000003E-2</v>
      </c>
      <c r="W186" s="13">
        <v>7.5300928000000003E-2</v>
      </c>
      <c r="X186" s="13">
        <v>7.5413058000000005E-2</v>
      </c>
      <c r="Y186" s="13">
        <v>7.4789985000000003E-2</v>
      </c>
      <c r="Z186" s="13">
        <v>7.3726943000000003E-2</v>
      </c>
      <c r="AA186" s="13">
        <v>1.6667629E-2</v>
      </c>
      <c r="AB186" s="13">
        <v>1.7719004999999999E-2</v>
      </c>
      <c r="AC186" s="13">
        <v>1.8766917000000001E-2</v>
      </c>
      <c r="AD186" s="13">
        <v>2.1701119000000001E-2</v>
      </c>
      <c r="AE186" s="13">
        <v>2.4157465999999999E-2</v>
      </c>
      <c r="AF186" s="13">
        <v>2.6507077E-2</v>
      </c>
      <c r="AG186" s="13">
        <v>2.6847914000000001E-2</v>
      </c>
      <c r="AH186" s="13">
        <v>6.1595724999999997E-2</v>
      </c>
      <c r="AI186" s="13">
        <v>6.3329498999999997E-2</v>
      </c>
      <c r="AJ186" s="13">
        <v>6.7931686000000005E-2</v>
      </c>
      <c r="AK186" s="13">
        <v>7.1072240999999994E-2</v>
      </c>
      <c r="AL186" s="13">
        <v>7.1757836000000005E-2</v>
      </c>
      <c r="AM186" s="13">
        <v>7.1177153000000007E-2</v>
      </c>
      <c r="AN186" s="13">
        <v>7.2026894999999994E-2</v>
      </c>
      <c r="AO186" s="13">
        <v>7.9509081999999995E-2</v>
      </c>
      <c r="AP186" s="14">
        <v>-1.3758962E-2</v>
      </c>
      <c r="AQ186" s="14">
        <v>0.62672977200000002</v>
      </c>
    </row>
    <row r="187" spans="1:43" x14ac:dyDescent="0.25">
      <c r="A187" s="15" t="s">
        <v>16</v>
      </c>
      <c r="B187" s="16" t="e">
        <f>VLOOKUP(Sheet1!D187,Sheet2!A184,1,FALSE)</f>
        <v>#N/A</v>
      </c>
      <c r="C187" s="15" t="s">
        <v>20</v>
      </c>
      <c r="D187" s="15" t="s">
        <v>22</v>
      </c>
      <c r="E187" s="16" t="s">
        <v>41</v>
      </c>
      <c r="F187" s="13">
        <v>3.2078813999999997E-2</v>
      </c>
      <c r="G187" s="13">
        <v>3.2876426E-2</v>
      </c>
      <c r="H187" s="13">
        <v>3.4246565999999999E-2</v>
      </c>
      <c r="I187" s="13">
        <v>3.5277632000000003E-2</v>
      </c>
      <c r="J187" s="13">
        <v>3.5508786000000001E-2</v>
      </c>
      <c r="K187" s="13">
        <v>3.5506911000000002E-2</v>
      </c>
      <c r="L187" s="13">
        <v>3.5453819999999997E-2</v>
      </c>
      <c r="M187" s="13">
        <v>-7.1761399999999999E-4</v>
      </c>
      <c r="N187" s="13">
        <v>3.799111E-3</v>
      </c>
      <c r="O187" s="13">
        <v>7.1139239999999998E-3</v>
      </c>
      <c r="P187" s="13">
        <v>1.0131698999999999E-2</v>
      </c>
      <c r="Q187" s="13">
        <v>1.1825476E-2</v>
      </c>
      <c r="R187" s="13">
        <v>1.3284456E-2</v>
      </c>
      <c r="S187" s="13">
        <v>1.4551697000000001E-2</v>
      </c>
      <c r="T187" s="13">
        <v>6.5538913000000004E-2</v>
      </c>
      <c r="U187" s="13">
        <v>6.3114446000000005E-2</v>
      </c>
      <c r="V187" s="13">
        <v>6.2353989999999998E-2</v>
      </c>
      <c r="W187" s="13">
        <v>6.0740676E-2</v>
      </c>
      <c r="X187" s="13">
        <v>5.9404002999999997E-2</v>
      </c>
      <c r="Y187" s="13">
        <v>5.7857859999999997E-2</v>
      </c>
      <c r="Z187" s="13">
        <v>5.6776140000000003E-2</v>
      </c>
      <c r="AA187" s="13">
        <v>1.0996494000000001E-2</v>
      </c>
      <c r="AB187" s="13">
        <v>1.2852763999999999E-2</v>
      </c>
      <c r="AC187" s="13">
        <v>1.4554921E-2</v>
      </c>
      <c r="AD187" s="13">
        <v>1.4980749999999999E-2</v>
      </c>
      <c r="AE187" s="13">
        <v>1.6083525000000001E-2</v>
      </c>
      <c r="AF187" s="13">
        <v>1.6516022000000002E-2</v>
      </c>
      <c r="AG187" s="13">
        <v>1.8208957000000001E-2</v>
      </c>
      <c r="AH187" s="13">
        <v>5.3600765000000002E-2</v>
      </c>
      <c r="AI187" s="13">
        <v>5.3295947000000003E-2</v>
      </c>
      <c r="AJ187" s="13">
        <v>5.4320408000000001E-2</v>
      </c>
      <c r="AK187" s="13">
        <v>5.5980396000000002E-2</v>
      </c>
      <c r="AL187" s="13">
        <v>5.5305414999999997E-2</v>
      </c>
      <c r="AM187" s="13">
        <v>5.4852596000000003E-2</v>
      </c>
      <c r="AN187" s="13">
        <v>5.2990750000000003E-2</v>
      </c>
      <c r="AO187" s="13">
        <v>8.6194396000000006E-2</v>
      </c>
      <c r="AP187" s="14">
        <v>0.125241457</v>
      </c>
      <c r="AQ187" s="14">
        <v>0.51213765</v>
      </c>
    </row>
    <row r="188" spans="1:43" x14ac:dyDescent="0.25">
      <c r="A188" s="15" t="s">
        <v>16</v>
      </c>
      <c r="B188" s="16" t="e">
        <f>VLOOKUP(Sheet1!D188,Sheet2!A185,1,FALSE)</f>
        <v>#N/A</v>
      </c>
      <c r="C188" s="15" t="s">
        <v>20</v>
      </c>
      <c r="D188" s="15" t="s">
        <v>185</v>
      </c>
      <c r="E188" s="16" t="s">
        <v>42</v>
      </c>
      <c r="F188" s="13">
        <v>1.8258380000000001E-2</v>
      </c>
      <c r="G188" s="13">
        <v>1.9643924E-2</v>
      </c>
      <c r="H188" s="13">
        <v>2.2440602E-2</v>
      </c>
      <c r="I188" s="13">
        <v>2.5510937000000001E-2</v>
      </c>
      <c r="J188" s="13">
        <v>2.7135846000000002E-2</v>
      </c>
      <c r="K188" s="13">
        <v>2.8078290999999998E-2</v>
      </c>
      <c r="L188" s="13">
        <v>2.8687204000000001E-2</v>
      </c>
      <c r="M188" s="13">
        <v>-3.9096199999999999E-3</v>
      </c>
      <c r="N188" s="13">
        <v>-9.7561800000000004E-4</v>
      </c>
      <c r="O188" s="13">
        <v>1.6564030000000001E-3</v>
      </c>
      <c r="P188" s="13">
        <v>4.350278E-3</v>
      </c>
      <c r="Q188" s="13">
        <v>6.5452119999999999E-3</v>
      </c>
      <c r="R188" s="13">
        <v>8.2820700000000008E-3</v>
      </c>
      <c r="S188" s="13">
        <v>9.6950620000000008E-3</v>
      </c>
      <c r="T188" s="13">
        <v>4.0904582000000002E-2</v>
      </c>
      <c r="U188" s="13">
        <v>4.0719335000000002E-2</v>
      </c>
      <c r="V188" s="13">
        <v>4.3543804999999998E-2</v>
      </c>
      <c r="W188" s="13">
        <v>4.7142484999999998E-2</v>
      </c>
      <c r="X188" s="13">
        <v>4.8382215999999999E-2</v>
      </c>
      <c r="Y188" s="13">
        <v>4.8387671E-2</v>
      </c>
      <c r="Z188" s="13">
        <v>4.8211632999999997E-2</v>
      </c>
      <c r="AA188" s="13">
        <v>5.9215980000000001E-3</v>
      </c>
      <c r="AB188" s="13">
        <v>5.3016929999999997E-3</v>
      </c>
      <c r="AC188" s="13">
        <v>6.1539089999999999E-3</v>
      </c>
      <c r="AD188" s="13">
        <v>6.6071519999999998E-3</v>
      </c>
      <c r="AE188" s="13">
        <v>8.9999659999999999E-3</v>
      </c>
      <c r="AF188" s="13">
        <v>1.0266506E-2</v>
      </c>
      <c r="AG188" s="13">
        <v>1.1692719000000001E-2</v>
      </c>
      <c r="AH188" s="13">
        <v>3.0746464000000001E-2</v>
      </c>
      <c r="AI188" s="13">
        <v>3.4190769000000003E-2</v>
      </c>
      <c r="AJ188" s="13">
        <v>3.899093E-2</v>
      </c>
      <c r="AK188" s="13">
        <v>4.4769730000000001E-2</v>
      </c>
      <c r="AL188" s="13">
        <v>4.5597701999999997E-2</v>
      </c>
      <c r="AM188" s="13">
        <v>4.6204116000000003E-2</v>
      </c>
      <c r="AN188" s="13">
        <v>4.5967169000000002E-2</v>
      </c>
      <c r="AO188" s="13">
        <v>5.9730012999999998E-2</v>
      </c>
      <c r="AP188" s="14">
        <v>0.51983815200000005</v>
      </c>
      <c r="AQ188" s="14">
        <v>9.3293760000000003E-3</v>
      </c>
    </row>
    <row r="189" spans="1:43" x14ac:dyDescent="0.25">
      <c r="A189" s="15" t="s">
        <v>16</v>
      </c>
      <c r="B189" s="16" t="e">
        <f>VLOOKUP(Sheet1!D189,Sheet2!A186,1,FALSE)</f>
        <v>#N/A</v>
      </c>
      <c r="C189" s="15" t="s">
        <v>20</v>
      </c>
      <c r="D189" s="15" t="s">
        <v>190</v>
      </c>
      <c r="E189" s="16" t="s">
        <v>43</v>
      </c>
      <c r="F189" s="13">
        <v>-4.7983920000000003E-3</v>
      </c>
      <c r="G189" s="13">
        <v>-2.0701809999999999E-3</v>
      </c>
      <c r="H189" s="13">
        <v>3.9908360000000002E-3</v>
      </c>
      <c r="I189" s="13">
        <v>1.1747036000000001E-2</v>
      </c>
      <c r="J189" s="13">
        <v>1.6588749999999999E-2</v>
      </c>
      <c r="K189" s="13">
        <v>1.9717716999999999E-2</v>
      </c>
      <c r="L189" s="13">
        <v>2.1863045000000001E-2</v>
      </c>
      <c r="M189" s="13">
        <v>-1.6700525000000001E-2</v>
      </c>
      <c r="N189" s="13">
        <v>-1.2766789000000001E-2</v>
      </c>
      <c r="O189" s="13">
        <v>-6.2155300000000004E-3</v>
      </c>
      <c r="P189" s="13">
        <v>1.9200879999999999E-3</v>
      </c>
      <c r="Q189" s="13">
        <v>7.162369E-3</v>
      </c>
      <c r="R189" s="13">
        <v>1.0756922E-2</v>
      </c>
      <c r="S189" s="13">
        <v>1.3367273000000001E-2</v>
      </c>
      <c r="T189" s="13">
        <v>7.1429129999999999E-3</v>
      </c>
      <c r="U189" s="13">
        <v>8.74985E-3</v>
      </c>
      <c r="V189" s="13">
        <v>1.4366011999999999E-2</v>
      </c>
      <c r="W189" s="13">
        <v>2.1630745E-2</v>
      </c>
      <c r="X189" s="13">
        <v>2.6007131999999999E-2</v>
      </c>
      <c r="Y189" s="13">
        <v>2.8716004E-2</v>
      </c>
      <c r="Z189" s="13">
        <v>3.0380865999999999E-2</v>
      </c>
      <c r="AA189" s="13">
        <v>-1.0533205E-2</v>
      </c>
      <c r="AB189" s="13">
        <v>-8.1005169999999998E-3</v>
      </c>
      <c r="AC189" s="13">
        <v>-2.718313E-3</v>
      </c>
      <c r="AD189" s="13">
        <v>4.053376E-3</v>
      </c>
      <c r="AE189" s="13">
        <v>8.6472200000000006E-3</v>
      </c>
      <c r="AF189" s="13">
        <v>1.2239320999999999E-2</v>
      </c>
      <c r="AG189" s="13">
        <v>1.4426277E-2</v>
      </c>
      <c r="AH189" s="13">
        <v>9.6965899999999999E-4</v>
      </c>
      <c r="AI189" s="13">
        <v>3.9968160000000003E-3</v>
      </c>
      <c r="AJ189" s="13">
        <v>1.074512E-2</v>
      </c>
      <c r="AK189" s="13">
        <v>1.949965E-2</v>
      </c>
      <c r="AL189" s="13">
        <v>2.4592808000000001E-2</v>
      </c>
      <c r="AM189" s="13">
        <v>2.7251363000000001E-2</v>
      </c>
      <c r="AN189" s="13">
        <v>2.9354333E-2</v>
      </c>
      <c r="AO189" s="13">
        <v>3.5106848000000003E-2</v>
      </c>
      <c r="AP189" s="14">
        <v>1</v>
      </c>
      <c r="AQ189" s="14">
        <v>-0.17315082400000001</v>
      </c>
    </row>
    <row r="190" spans="1:43" x14ac:dyDescent="0.25">
      <c r="A190" s="15" t="s">
        <v>16</v>
      </c>
      <c r="B190" s="16" t="e">
        <f>VLOOKUP(Sheet1!D190,Sheet2!A187,1,FALSE)</f>
        <v>#N/A</v>
      </c>
      <c r="C190" s="15" t="s">
        <v>20</v>
      </c>
      <c r="D190" s="15" t="s">
        <v>191</v>
      </c>
      <c r="E190" s="16" t="s">
        <v>180</v>
      </c>
      <c r="F190" s="13">
        <v>2.6801842999999999E-2</v>
      </c>
      <c r="G190" s="13">
        <v>2.8626103999999999E-2</v>
      </c>
      <c r="H190" s="13">
        <v>3.2478890000000003E-2</v>
      </c>
      <c r="I190" s="13">
        <v>3.7046566000000003E-2</v>
      </c>
      <c r="J190" s="13">
        <v>3.9689192999999998E-2</v>
      </c>
      <c r="K190" s="13">
        <v>4.1319640999999997E-2</v>
      </c>
      <c r="L190" s="13">
        <v>4.2410570000000002E-2</v>
      </c>
      <c r="M190" s="13">
        <v>-1.2812660999999999E-2</v>
      </c>
      <c r="N190" s="13">
        <v>-8.7142859999999999E-3</v>
      </c>
      <c r="O190" s="13">
        <v>-2.977838E-3</v>
      </c>
      <c r="P190" s="13">
        <v>3.447482E-3</v>
      </c>
      <c r="Q190" s="13">
        <v>7.4507699999999998E-3</v>
      </c>
      <c r="R190" s="13">
        <v>1.0851950000000001E-2</v>
      </c>
      <c r="S190" s="13">
        <v>1.3651481E-2</v>
      </c>
      <c r="T190" s="13">
        <v>6.8357018000000005E-2</v>
      </c>
      <c r="U190" s="13">
        <v>6.7363877000000003E-2</v>
      </c>
      <c r="V190" s="13">
        <v>6.8895448999999997E-2</v>
      </c>
      <c r="W190" s="13">
        <v>7.1717151000000007E-2</v>
      </c>
      <c r="X190" s="13">
        <v>7.2756709000000003E-2</v>
      </c>
      <c r="Y190" s="13">
        <v>7.2277215000000006E-2</v>
      </c>
      <c r="Z190" s="13">
        <v>7.1665278999999998E-2</v>
      </c>
      <c r="AA190" s="13">
        <v>-4.533278E-3</v>
      </c>
      <c r="AB190" s="13">
        <v>-2.7276420000000002E-3</v>
      </c>
      <c r="AC190" s="13">
        <v>9.4490700000000004E-4</v>
      </c>
      <c r="AD190" s="13">
        <v>7.1372959999999996E-3</v>
      </c>
      <c r="AE190" s="13">
        <v>1.2262008E-2</v>
      </c>
      <c r="AF190" s="13">
        <v>1.4438708999999999E-2</v>
      </c>
      <c r="AG190" s="13">
        <v>1.5725671E-2</v>
      </c>
      <c r="AH190" s="13">
        <v>5.9123327000000003E-2</v>
      </c>
      <c r="AI190" s="13">
        <v>6.0965594999999997E-2</v>
      </c>
      <c r="AJ190" s="13">
        <v>6.5006326000000003E-2</v>
      </c>
      <c r="AK190" s="13">
        <v>6.7844061999999997E-2</v>
      </c>
      <c r="AL190" s="13">
        <v>6.7859526000000003E-2</v>
      </c>
      <c r="AM190" s="13">
        <v>6.8912875999999998E-2</v>
      </c>
      <c r="AN190" s="13">
        <v>6.9796539000000005E-2</v>
      </c>
      <c r="AO190" s="13">
        <v>8.1193528000000001E-2</v>
      </c>
      <c r="AP190" s="14">
        <v>-0.12131753100000001</v>
      </c>
      <c r="AQ190" s="14">
        <v>0.54831513300000001</v>
      </c>
    </row>
    <row r="191" spans="1:43" x14ac:dyDescent="0.25">
      <c r="A191" s="15" t="s">
        <v>16</v>
      </c>
      <c r="B191" s="16" t="e">
        <f>VLOOKUP(Sheet1!D191,Sheet2!A188,1,FALSE)</f>
        <v>#N/A</v>
      </c>
      <c r="C191" s="15" t="s">
        <v>20</v>
      </c>
      <c r="D191" s="15" t="s">
        <v>182</v>
      </c>
      <c r="E191" s="16" t="s">
        <v>44</v>
      </c>
      <c r="F191" s="13">
        <v>4.2922730000000001E-3</v>
      </c>
      <c r="G191" s="13">
        <v>6.2614159999999997E-3</v>
      </c>
      <c r="H191" s="13">
        <v>1.0477195E-2</v>
      </c>
      <c r="I191" s="13">
        <v>1.5583494999999999E-2</v>
      </c>
      <c r="J191" s="13">
        <v>1.8604767000000001E-2</v>
      </c>
      <c r="K191" s="13">
        <v>2.0495520999999999E-2</v>
      </c>
      <c r="L191" s="13">
        <v>2.1770297000000001E-2</v>
      </c>
      <c r="M191" s="13">
        <v>4.2080720000000002E-3</v>
      </c>
      <c r="N191" s="13">
        <v>6.0159719999999996E-3</v>
      </c>
      <c r="O191" s="13">
        <v>1.0024195E-2</v>
      </c>
      <c r="P191" s="13">
        <v>1.5022262999999999E-2</v>
      </c>
      <c r="Q191" s="13">
        <v>1.8034583999999999E-2</v>
      </c>
      <c r="R191" s="13">
        <v>1.9932488000000002E-2</v>
      </c>
      <c r="S191" s="13">
        <v>2.1231488E-2</v>
      </c>
      <c r="T191" s="13">
        <v>4.3764800000000003E-3</v>
      </c>
      <c r="U191" s="13">
        <v>6.5069200000000002E-3</v>
      </c>
      <c r="V191" s="13">
        <v>1.0930397E-2</v>
      </c>
      <c r="W191" s="13">
        <v>1.6145037000000001E-2</v>
      </c>
      <c r="X191" s="13">
        <v>1.9175270000000001E-2</v>
      </c>
      <c r="Y191" s="13">
        <v>2.1058864E-2</v>
      </c>
      <c r="Z191" s="13">
        <v>2.2309389999999998E-2</v>
      </c>
      <c r="AA191" s="13">
        <v>4.2083260000000001E-3</v>
      </c>
      <c r="AB191" s="13">
        <v>6.0287930000000002E-3</v>
      </c>
      <c r="AC191" s="13">
        <v>1.0030071999999999E-2</v>
      </c>
      <c r="AD191" s="13">
        <v>1.4995763E-2</v>
      </c>
      <c r="AE191" s="13">
        <v>1.8017834E-2</v>
      </c>
      <c r="AF191" s="13">
        <v>1.9941950999999999E-2</v>
      </c>
      <c r="AG191" s="13">
        <v>2.1244552999999999E-2</v>
      </c>
      <c r="AH191" s="13">
        <v>4.3762260000000004E-3</v>
      </c>
      <c r="AI191" s="13">
        <v>6.4940930000000003E-3</v>
      </c>
      <c r="AJ191" s="13">
        <v>1.0924514999999999E-2</v>
      </c>
      <c r="AK191" s="13">
        <v>1.6171567000000001E-2</v>
      </c>
      <c r="AL191" s="13">
        <v>1.9192039000000001E-2</v>
      </c>
      <c r="AM191" s="13">
        <v>2.1049391000000001E-2</v>
      </c>
      <c r="AN191" s="13">
        <v>2.2296310999999999E-2</v>
      </c>
      <c r="AO191" s="13">
        <v>0</v>
      </c>
      <c r="AP191" s="14">
        <v>0</v>
      </c>
      <c r="AQ191" s="14">
        <v>0</v>
      </c>
    </row>
    <row r="192" spans="1:43" x14ac:dyDescent="0.25">
      <c r="A192" s="15" t="s">
        <v>16</v>
      </c>
      <c r="B192" s="16" t="e">
        <f>VLOOKUP(Sheet1!D192,Sheet2!A189,1,FALSE)</f>
        <v>#N/A</v>
      </c>
      <c r="C192" s="15" t="s">
        <v>20</v>
      </c>
      <c r="D192" s="15" t="s">
        <v>172</v>
      </c>
      <c r="E192" s="16" t="s">
        <v>166</v>
      </c>
      <c r="F192" s="13">
        <v>2.9095313000000001E-2</v>
      </c>
      <c r="G192" s="13">
        <v>2.967765E-2</v>
      </c>
      <c r="H192" s="13">
        <v>3.0530478E-2</v>
      </c>
      <c r="I192" s="13">
        <v>3.083081E-2</v>
      </c>
      <c r="J192" s="13">
        <v>3.0567278999999999E-2</v>
      </c>
      <c r="K192" s="13">
        <v>3.0231959999999999E-2</v>
      </c>
      <c r="L192" s="13">
        <v>2.9945754000000002E-2</v>
      </c>
      <c r="M192" s="13">
        <v>1.1743791E-2</v>
      </c>
      <c r="N192" s="13">
        <v>1.2819703E-2</v>
      </c>
      <c r="O192" s="13">
        <v>1.2332243999999999E-2</v>
      </c>
      <c r="P192" s="13">
        <v>1.1022247000000001E-2</v>
      </c>
      <c r="Q192" s="13">
        <v>1.0989349000000001E-2</v>
      </c>
      <c r="R192" s="13">
        <v>1.1170831000000001E-2</v>
      </c>
      <c r="S192" s="13">
        <v>1.1753302E-2</v>
      </c>
      <c r="T192" s="13">
        <v>4.6658371999999997E-2</v>
      </c>
      <c r="U192" s="13">
        <v>4.6878476000000002E-2</v>
      </c>
      <c r="V192" s="13">
        <v>4.9166157000000002E-2</v>
      </c>
      <c r="W192" s="13">
        <v>5.0933165000000002E-2</v>
      </c>
      <c r="X192" s="13">
        <v>5.0834290999999997E-2</v>
      </c>
      <c r="Y192" s="13">
        <v>4.9399446999999999E-2</v>
      </c>
      <c r="Z192" s="13">
        <v>4.8420099000000001E-2</v>
      </c>
      <c r="AA192" s="13">
        <v>1.6817419E-2</v>
      </c>
      <c r="AB192" s="13">
        <v>1.6008946999999999E-2</v>
      </c>
      <c r="AC192" s="13">
        <v>1.3819227999999999E-2</v>
      </c>
      <c r="AD192" s="13">
        <v>1.1548865E-2</v>
      </c>
      <c r="AE192" s="13">
        <v>1.1484097E-2</v>
      </c>
      <c r="AF192" s="13">
        <v>1.2260119E-2</v>
      </c>
      <c r="AG192" s="13">
        <v>1.2055418E-2</v>
      </c>
      <c r="AH192" s="13">
        <v>4.1521461000000003E-2</v>
      </c>
      <c r="AI192" s="13">
        <v>4.3530243000000003E-2</v>
      </c>
      <c r="AJ192" s="13">
        <v>4.7517187000000002E-2</v>
      </c>
      <c r="AK192" s="13">
        <v>5.0480302999999997E-2</v>
      </c>
      <c r="AL192" s="13">
        <v>5.0010498E-2</v>
      </c>
      <c r="AM192" s="13">
        <v>4.8522875E-2</v>
      </c>
      <c r="AN192" s="13">
        <v>4.8152341000000001E-2</v>
      </c>
      <c r="AO192" s="13">
        <v>4.0525243000000002E-2</v>
      </c>
      <c r="AP192" s="14">
        <v>0.28773121299999999</v>
      </c>
      <c r="AQ192" s="14">
        <v>-2.1771780000000001E-3</v>
      </c>
    </row>
    <row r="193" spans="1:43" x14ac:dyDescent="0.25">
      <c r="A193" s="15" t="s">
        <v>16</v>
      </c>
      <c r="B193" s="16" t="e">
        <f>VLOOKUP(Sheet1!D193,Sheet2!A190,1,FALSE)</f>
        <v>#N/A</v>
      </c>
      <c r="C193" s="15" t="s">
        <v>23</v>
      </c>
      <c r="D193" s="15" t="s">
        <v>199</v>
      </c>
      <c r="E193" s="16" t="s">
        <v>45</v>
      </c>
      <c r="F193" s="13">
        <v>1.8370029999999999E-2</v>
      </c>
      <c r="G193" s="13">
        <v>2.1973359000000001E-2</v>
      </c>
      <c r="H193" s="13">
        <v>3.0154151000000001E-2</v>
      </c>
      <c r="I193" s="13">
        <v>4.0946257E-2</v>
      </c>
      <c r="J193" s="13">
        <v>4.7871516000000003E-2</v>
      </c>
      <c r="K193" s="13">
        <v>5.2418072000000003E-2</v>
      </c>
      <c r="L193" s="13">
        <v>5.5560837000000002E-2</v>
      </c>
      <c r="M193" s="13">
        <v>-2.4006276E-2</v>
      </c>
      <c r="N193" s="13">
        <v>-1.7155973000000001E-2</v>
      </c>
      <c r="O193" s="13">
        <v>-6.8920800000000001E-3</v>
      </c>
      <c r="P193" s="13">
        <v>5.4405139999999996E-3</v>
      </c>
      <c r="Q193" s="13">
        <v>1.3820146E-2</v>
      </c>
      <c r="R193" s="13">
        <v>2.0333883000000001E-2</v>
      </c>
      <c r="S193" s="13">
        <v>2.5140915999999999E-2</v>
      </c>
      <c r="T193" s="13">
        <v>6.2574275999999998E-2</v>
      </c>
      <c r="U193" s="13">
        <v>6.2523914E-2</v>
      </c>
      <c r="V193" s="13">
        <v>6.8025221999999996E-2</v>
      </c>
      <c r="W193" s="13">
        <v>7.7658719000000001E-2</v>
      </c>
      <c r="X193" s="13">
        <v>8.2727803000000003E-2</v>
      </c>
      <c r="Y193" s="13">
        <v>8.5504133999999996E-2</v>
      </c>
      <c r="Z193" s="13">
        <v>8.6989658999999997E-2</v>
      </c>
      <c r="AA193" s="13">
        <v>-1.0453321E-2</v>
      </c>
      <c r="AB193" s="13">
        <v>-4.9939299999999997E-3</v>
      </c>
      <c r="AC193" s="13">
        <v>8.2788800000000004E-4</v>
      </c>
      <c r="AD193" s="13">
        <v>1.0906478000000001E-2</v>
      </c>
      <c r="AE193" s="13">
        <v>1.8310836E-2</v>
      </c>
      <c r="AF193" s="13">
        <v>2.4668905000000001E-2</v>
      </c>
      <c r="AG193" s="13">
        <v>2.8397532999999999E-2</v>
      </c>
      <c r="AH193" s="13">
        <v>4.8041515E-2</v>
      </c>
      <c r="AI193" s="13">
        <v>4.9678952999999998E-2</v>
      </c>
      <c r="AJ193" s="13">
        <v>6.0348405000000001E-2</v>
      </c>
      <c r="AK193" s="13">
        <v>7.1887638000000004E-2</v>
      </c>
      <c r="AL193" s="13">
        <v>7.8298827000000001E-2</v>
      </c>
      <c r="AM193" s="13">
        <v>8.0926128999999999E-2</v>
      </c>
      <c r="AN193" s="13">
        <v>8.3448662000000007E-2</v>
      </c>
      <c r="AO193" s="13">
        <v>0.104640627</v>
      </c>
      <c r="AP193" s="14">
        <v>0.47847891599999998</v>
      </c>
      <c r="AQ193" s="14">
        <v>0.26877158000000001</v>
      </c>
    </row>
    <row r="194" spans="1:43" s="16" customFormat="1" x14ac:dyDescent="0.25">
      <c r="A194" s="16" t="s">
        <v>16</v>
      </c>
      <c r="B194" s="16" t="e">
        <f>VLOOKUP(Sheet1!D194,Sheet2!A191,1,FALSE)</f>
        <v>#N/A</v>
      </c>
      <c r="C194" s="16" t="s">
        <v>23</v>
      </c>
      <c r="D194" s="16" t="s">
        <v>24</v>
      </c>
      <c r="E194" s="16" t="s">
        <v>46</v>
      </c>
      <c r="F194" s="13">
        <v>1.1327243000000001E-2</v>
      </c>
      <c r="G194" s="13">
        <v>1.4609949000000001E-2</v>
      </c>
      <c r="H194" s="13">
        <v>2.2011840000000001E-2</v>
      </c>
      <c r="I194" s="13">
        <v>3.1684078999999997E-2</v>
      </c>
      <c r="J194" s="13">
        <v>3.7838259999999999E-2</v>
      </c>
      <c r="K194" s="13">
        <v>4.1859201999999998E-2</v>
      </c>
      <c r="L194" s="13">
        <v>4.4631727000000003E-2</v>
      </c>
      <c r="M194" s="13">
        <v>-1.9583217999999999E-2</v>
      </c>
      <c r="N194" s="13">
        <v>-1.3173864E-2</v>
      </c>
      <c r="O194" s="13">
        <v>-3.6672459999999999E-3</v>
      </c>
      <c r="P194" s="13">
        <v>7.5657420000000003E-3</v>
      </c>
      <c r="Q194" s="13">
        <v>1.4962581000000001E-2</v>
      </c>
      <c r="R194" s="13">
        <v>2.0379485999999999E-2</v>
      </c>
      <c r="S194" s="13">
        <v>2.4461736000000001E-2</v>
      </c>
      <c r="T194" s="13">
        <v>4.3370657999999999E-2</v>
      </c>
      <c r="U194" s="13">
        <v>4.3224477999999997E-2</v>
      </c>
      <c r="V194" s="13">
        <v>4.8456350000000002E-2</v>
      </c>
      <c r="W194" s="13">
        <v>5.6345310000000003E-2</v>
      </c>
      <c r="X194" s="13">
        <v>6.1299841000000001E-2</v>
      </c>
      <c r="Y194" s="13">
        <v>6.3814650000000001E-2</v>
      </c>
      <c r="Z194" s="13">
        <v>6.5273273000000007E-2</v>
      </c>
      <c r="AA194" s="13">
        <v>-4.7906570000000002E-3</v>
      </c>
      <c r="AB194" s="13">
        <v>-1.3095870000000001E-3</v>
      </c>
      <c r="AC194" s="13">
        <v>4.8057539999999998E-3</v>
      </c>
      <c r="AD194" s="13">
        <v>1.4521307000000001E-2</v>
      </c>
      <c r="AE194" s="13">
        <v>2.0085604E-2</v>
      </c>
      <c r="AF194" s="13">
        <v>2.4328894E-2</v>
      </c>
      <c r="AG194" s="13">
        <v>2.7673462999999999E-2</v>
      </c>
      <c r="AH194" s="13">
        <v>2.7707500999999999E-2</v>
      </c>
      <c r="AI194" s="13">
        <v>3.0784526999999999E-2</v>
      </c>
      <c r="AJ194" s="13">
        <v>3.9514034000000003E-2</v>
      </c>
      <c r="AK194" s="13">
        <v>4.9138634E-2</v>
      </c>
      <c r="AL194" s="13">
        <v>5.5901390000000002E-2</v>
      </c>
      <c r="AM194" s="13">
        <v>5.9690992999999998E-2</v>
      </c>
      <c r="AN194" s="13">
        <v>6.1871198000000002E-2</v>
      </c>
      <c r="AO194" s="13">
        <v>8.9964557000000001E-2</v>
      </c>
      <c r="AP194" s="14">
        <v>0.478973659</v>
      </c>
      <c r="AQ194" s="14">
        <v>0.29799397999999999</v>
      </c>
    </row>
    <row r="195" spans="1:43" s="16" customFormat="1" x14ac:dyDescent="0.25">
      <c r="A195" s="16" t="s">
        <v>16</v>
      </c>
      <c r="B195" s="16" t="e">
        <f>VLOOKUP(Sheet1!D195,Sheet2!A192,1,FALSE)</f>
        <v>#N/A</v>
      </c>
      <c r="C195" s="16" t="s">
        <v>23</v>
      </c>
      <c r="D195" s="16" t="s">
        <v>25</v>
      </c>
      <c r="E195" s="16" t="s">
        <v>45</v>
      </c>
      <c r="F195" s="13">
        <v>5.1426863000000003E-2</v>
      </c>
      <c r="G195" s="13">
        <v>5.3092604000000002E-2</v>
      </c>
      <c r="H195" s="13">
        <v>5.6555073999999997E-2</v>
      </c>
      <c r="I195" s="13">
        <v>6.0554743000000001E-2</v>
      </c>
      <c r="J195" s="13">
        <v>6.2803688999999996E-2</v>
      </c>
      <c r="K195" s="13">
        <v>6.4165390000000003E-2</v>
      </c>
      <c r="L195" s="13">
        <v>6.5067155000000002E-2</v>
      </c>
      <c r="M195" s="13">
        <v>1.3654924000000001E-2</v>
      </c>
      <c r="N195" s="13">
        <v>1.9637121E-2</v>
      </c>
      <c r="O195" s="13">
        <v>2.6136036000000001E-2</v>
      </c>
      <c r="P195" s="13">
        <v>3.2828527000000003E-2</v>
      </c>
      <c r="Q195" s="13">
        <v>3.7576399000000003E-2</v>
      </c>
      <c r="R195" s="13">
        <v>4.0387697E-2</v>
      </c>
      <c r="S195" s="13">
        <v>4.2997488E-2</v>
      </c>
      <c r="T195" s="13">
        <v>9.0797561999999998E-2</v>
      </c>
      <c r="U195" s="13">
        <v>8.7483888999999995E-2</v>
      </c>
      <c r="V195" s="13">
        <v>8.7768369999999998E-2</v>
      </c>
      <c r="W195" s="13">
        <v>8.8840886999999993E-2</v>
      </c>
      <c r="X195" s="13">
        <v>8.8839174000000007E-2</v>
      </c>
      <c r="Y195" s="13">
        <v>8.8434228000000004E-2</v>
      </c>
      <c r="Z195" s="13">
        <v>8.8126026999999996E-2</v>
      </c>
      <c r="AA195" s="13">
        <v>3.1459045999999997E-2</v>
      </c>
      <c r="AB195" s="13">
        <v>3.3601509000000002E-2</v>
      </c>
      <c r="AC195" s="13">
        <v>3.7489151999999998E-2</v>
      </c>
      <c r="AD195" s="13">
        <v>4.0156059000000001E-2</v>
      </c>
      <c r="AE195" s="13">
        <v>4.2678173E-2</v>
      </c>
      <c r="AF195" s="13">
        <v>4.5567901000000001E-2</v>
      </c>
      <c r="AG195" s="13">
        <v>4.7613711000000003E-2</v>
      </c>
      <c r="AH195" s="13">
        <v>7.1785784000000005E-2</v>
      </c>
      <c r="AI195" s="13">
        <v>7.2955569999999997E-2</v>
      </c>
      <c r="AJ195" s="13">
        <v>7.5975471000000003E-2</v>
      </c>
      <c r="AK195" s="13">
        <v>8.1358142999999994E-2</v>
      </c>
      <c r="AL195" s="13">
        <v>8.3322184999999993E-2</v>
      </c>
      <c r="AM195" s="13">
        <v>8.3097512999999998E-2</v>
      </c>
      <c r="AN195" s="13">
        <v>8.2814746999999994E-2</v>
      </c>
      <c r="AO195" s="13">
        <v>0.104136481</v>
      </c>
      <c r="AP195" s="14">
        <v>9.9079002999999999E-2</v>
      </c>
      <c r="AQ195" s="14">
        <v>0.69089408100000005</v>
      </c>
    </row>
    <row r="196" spans="1:43" s="16" customFormat="1" x14ac:dyDescent="0.25">
      <c r="A196" s="16" t="s">
        <v>16</v>
      </c>
      <c r="B196" s="16" t="e">
        <f>VLOOKUP(Sheet1!D196,Sheet2!A193,1,FALSE)</f>
        <v>#N/A</v>
      </c>
      <c r="C196" s="16" t="s">
        <v>23</v>
      </c>
      <c r="D196" s="16" t="s">
        <v>26</v>
      </c>
      <c r="E196" s="16" t="s">
        <v>45</v>
      </c>
      <c r="F196" s="13">
        <v>6.2065871000000002E-2</v>
      </c>
      <c r="G196" s="13">
        <v>6.3707491000000005E-2</v>
      </c>
      <c r="H196" s="13">
        <v>6.7107480999999997E-2</v>
      </c>
      <c r="I196" s="13">
        <v>7.1011233000000007E-2</v>
      </c>
      <c r="J196" s="13">
        <v>7.3191195000000001E-2</v>
      </c>
      <c r="K196" s="13">
        <v>7.4504981999999997E-2</v>
      </c>
      <c r="L196" s="13">
        <v>7.5372755E-2</v>
      </c>
      <c r="M196" s="13">
        <v>-7.2902627999999997E-2</v>
      </c>
      <c r="N196" s="13">
        <v>-6.2291635999999997E-2</v>
      </c>
      <c r="O196" s="13">
        <v>-5.0486112E-2</v>
      </c>
      <c r="P196" s="13">
        <v>-3.5530726999999998E-2</v>
      </c>
      <c r="Q196" s="13">
        <v>-2.4866039E-2</v>
      </c>
      <c r="R196" s="13">
        <v>-1.5600762000000001E-2</v>
      </c>
      <c r="S196" s="13">
        <v>-9.6509990000000004E-3</v>
      </c>
      <c r="T196" s="13">
        <v>0.21728716200000001</v>
      </c>
      <c r="U196" s="13">
        <v>0.209082093</v>
      </c>
      <c r="V196" s="13">
        <v>0.19945700699999999</v>
      </c>
      <c r="W196" s="13">
        <v>0.18910812499999999</v>
      </c>
      <c r="X196" s="13">
        <v>0.180028149</v>
      </c>
      <c r="Y196" s="13">
        <v>0.17276712299999999</v>
      </c>
      <c r="Z196" s="13">
        <v>0.16762785899999999</v>
      </c>
      <c r="AA196" s="13">
        <v>-6.1238618000000002E-2</v>
      </c>
      <c r="AB196" s="13">
        <v>-5.2515808999999997E-2</v>
      </c>
      <c r="AC196" s="13">
        <v>-4.4013495999999999E-2</v>
      </c>
      <c r="AD196" s="13">
        <v>-2.7893992999999999E-2</v>
      </c>
      <c r="AE196" s="13">
        <v>-1.788967E-2</v>
      </c>
      <c r="AF196" s="13">
        <v>-1.2062928000000001E-2</v>
      </c>
      <c r="AG196" s="13">
        <v>-4.1792660000000001E-3</v>
      </c>
      <c r="AH196" s="13">
        <v>0.201829165</v>
      </c>
      <c r="AI196" s="13">
        <v>0.19441667300000001</v>
      </c>
      <c r="AJ196" s="13">
        <v>0.191350826</v>
      </c>
      <c r="AK196" s="13">
        <v>0.18013711499999999</v>
      </c>
      <c r="AL196" s="13">
        <v>0.17284998200000001</v>
      </c>
      <c r="AM196" s="13">
        <v>0.16877534999999999</v>
      </c>
      <c r="AN196" s="13">
        <v>0.161377084</v>
      </c>
      <c r="AO196" s="13">
        <v>0.18774254600000001</v>
      </c>
      <c r="AP196" s="14">
        <v>4.5113764000000001E-2</v>
      </c>
      <c r="AQ196" s="14">
        <v>0.64466354400000003</v>
      </c>
    </row>
    <row r="197" spans="1:43" s="16" customFormat="1" x14ac:dyDescent="0.25">
      <c r="A197" s="16" t="s">
        <v>16</v>
      </c>
      <c r="B197" s="16" t="e">
        <f>VLOOKUP(Sheet1!D197,Sheet2!A194,1,FALSE)</f>
        <v>#N/A</v>
      </c>
      <c r="C197" s="16" t="s">
        <v>23</v>
      </c>
      <c r="D197" s="16" t="s">
        <v>27</v>
      </c>
      <c r="E197" s="16" t="s">
        <v>47</v>
      </c>
      <c r="F197" s="13">
        <v>4.4413003999999999E-2</v>
      </c>
      <c r="G197" s="13">
        <v>4.6632965999999998E-2</v>
      </c>
      <c r="H197" s="13">
        <v>5.1445119999999997E-2</v>
      </c>
      <c r="I197" s="13">
        <v>5.7385323000000002E-2</v>
      </c>
      <c r="J197" s="13">
        <v>6.0967713999999999E-2</v>
      </c>
      <c r="K197" s="13">
        <v>6.3236055999999999E-2</v>
      </c>
      <c r="L197" s="13">
        <v>6.4774897999999997E-2</v>
      </c>
      <c r="M197" s="13">
        <v>5.9440270000000002E-3</v>
      </c>
      <c r="N197" s="13">
        <v>1.1148653999999999E-2</v>
      </c>
      <c r="O197" s="13">
        <v>1.8942541E-2</v>
      </c>
      <c r="P197" s="13">
        <v>2.8040229999999999E-2</v>
      </c>
      <c r="Q197" s="13">
        <v>3.3936211000000001E-2</v>
      </c>
      <c r="R197" s="13">
        <v>3.8193873000000003E-2</v>
      </c>
      <c r="S197" s="13">
        <v>4.1285676E-2</v>
      </c>
      <c r="T197" s="13">
        <v>8.4457468999999993E-2</v>
      </c>
      <c r="U197" s="13">
        <v>8.3253161000000006E-2</v>
      </c>
      <c r="V197" s="13">
        <v>8.4915628000000007E-2</v>
      </c>
      <c r="W197" s="13">
        <v>8.7790744000000004E-2</v>
      </c>
      <c r="X197" s="13">
        <v>8.8978544000000007E-2</v>
      </c>
      <c r="Y197" s="13">
        <v>8.9083199000000002E-2</v>
      </c>
      <c r="Z197" s="13">
        <v>8.8638053999999994E-2</v>
      </c>
      <c r="AA197" s="13">
        <v>1.3507767E-2</v>
      </c>
      <c r="AB197" s="13">
        <v>1.7535304000000002E-2</v>
      </c>
      <c r="AC197" s="13">
        <v>2.3898486E-2</v>
      </c>
      <c r="AD197" s="13">
        <v>3.1048151E-2</v>
      </c>
      <c r="AE197" s="13">
        <v>3.582399E-2</v>
      </c>
      <c r="AF197" s="13">
        <v>3.9232483999999998E-2</v>
      </c>
      <c r="AG197" s="13">
        <v>4.2508691000000001E-2</v>
      </c>
      <c r="AH197" s="13">
        <v>7.6279616999999994E-2</v>
      </c>
      <c r="AI197" s="13">
        <v>7.6579394999999995E-2</v>
      </c>
      <c r="AJ197" s="13">
        <v>7.9747625000000003E-2</v>
      </c>
      <c r="AK197" s="13">
        <v>8.4408562000000006E-2</v>
      </c>
      <c r="AL197" s="13">
        <v>8.6733796000000002E-2</v>
      </c>
      <c r="AM197" s="13">
        <v>8.7804928000000004E-2</v>
      </c>
      <c r="AN197" s="13">
        <v>8.7525977000000005E-2</v>
      </c>
      <c r="AO197" s="13">
        <v>7.4110272000000005E-2</v>
      </c>
      <c r="AP197" s="14">
        <v>-0.19290808000000001</v>
      </c>
      <c r="AQ197" s="14">
        <v>0.84091658999999996</v>
      </c>
    </row>
    <row r="198" spans="1:43" s="16" customFormat="1" x14ac:dyDescent="0.25">
      <c r="A198" s="16" t="s">
        <v>16</v>
      </c>
      <c r="B198" s="16" t="e">
        <f>VLOOKUP(Sheet1!D198,Sheet2!A195,1,FALSE)</f>
        <v>#N/A</v>
      </c>
      <c r="C198" s="16" t="s">
        <v>23</v>
      </c>
      <c r="D198" s="16" t="s">
        <v>196</v>
      </c>
      <c r="E198" s="16" t="s">
        <v>45</v>
      </c>
      <c r="F198" s="13">
        <v>0.17140846100000001</v>
      </c>
      <c r="G198" s="13">
        <v>0.169977922</v>
      </c>
      <c r="H198" s="13">
        <v>0.16594983599999999</v>
      </c>
      <c r="I198" s="13">
        <v>0.15929617600000001</v>
      </c>
      <c r="J198" s="13">
        <v>0.15430065500000001</v>
      </c>
      <c r="K198" s="13">
        <v>0.150770824</v>
      </c>
      <c r="L198" s="13">
        <v>0.14825159199999999</v>
      </c>
      <c r="M198" s="13">
        <v>2.9729774E-2</v>
      </c>
      <c r="N198" s="13">
        <v>3.8073034999999998E-2</v>
      </c>
      <c r="O198" s="13">
        <v>3.6772524000000001E-2</v>
      </c>
      <c r="P198" s="13">
        <v>3.2556423000000001E-2</v>
      </c>
      <c r="Q198" s="13">
        <v>3.3431426E-2</v>
      </c>
      <c r="R198" s="13">
        <v>3.5878606E-2</v>
      </c>
      <c r="S198" s="13">
        <v>4.0508598E-2</v>
      </c>
      <c r="T198" s="13">
        <v>0.33238815599999999</v>
      </c>
      <c r="U198" s="13">
        <v>0.31815602500000001</v>
      </c>
      <c r="V198" s="13">
        <v>0.30994633199999999</v>
      </c>
      <c r="W198" s="13">
        <v>0.30115576900000002</v>
      </c>
      <c r="X198" s="13">
        <v>0.28956573400000002</v>
      </c>
      <c r="Y198" s="13">
        <v>0.27839804699999998</v>
      </c>
      <c r="Z198" s="13">
        <v>0.268051753</v>
      </c>
      <c r="AA198" s="13">
        <v>6.9737940999999998E-2</v>
      </c>
      <c r="AB198" s="13">
        <v>6.4701622E-2</v>
      </c>
      <c r="AC198" s="13">
        <v>5.4786564000000003E-2</v>
      </c>
      <c r="AD198" s="13">
        <v>4.4221046999999999E-2</v>
      </c>
      <c r="AE198" s="13">
        <v>4.6016545999999998E-2</v>
      </c>
      <c r="AF198" s="13">
        <v>4.7274518000000001E-2</v>
      </c>
      <c r="AG198" s="13">
        <v>4.8652916999999997E-2</v>
      </c>
      <c r="AH198" s="13">
        <v>0.28327378199999997</v>
      </c>
      <c r="AI198" s="13">
        <v>0.28623964800000001</v>
      </c>
      <c r="AJ198" s="13">
        <v>0.289482935</v>
      </c>
      <c r="AK198" s="13">
        <v>0.28776878299999997</v>
      </c>
      <c r="AL198" s="13">
        <v>0.27442606400000003</v>
      </c>
      <c r="AM198" s="13">
        <v>0.26507088099999998</v>
      </c>
      <c r="AN198" s="13">
        <v>0.25784157200000002</v>
      </c>
      <c r="AO198" s="13">
        <v>0.32008530299999999</v>
      </c>
      <c r="AP198" s="14">
        <v>-0.173173404</v>
      </c>
      <c r="AQ198" s="14">
        <v>0.80454954300000003</v>
      </c>
    </row>
    <row r="199" spans="1:43" s="16" customFormat="1" x14ac:dyDescent="0.25">
      <c r="A199" s="16" t="s">
        <v>16</v>
      </c>
      <c r="B199" s="16" t="e">
        <f>VLOOKUP(Sheet1!D199,Sheet2!A196,1,FALSE)</f>
        <v>#N/A</v>
      </c>
      <c r="C199" s="16" t="s">
        <v>23</v>
      </c>
      <c r="D199" s="16" t="s">
        <v>195</v>
      </c>
      <c r="E199" s="16" t="s">
        <v>45</v>
      </c>
      <c r="F199" s="13">
        <v>5.8899937999999999E-2</v>
      </c>
      <c r="G199" s="13">
        <v>5.9720298999999998E-2</v>
      </c>
      <c r="H199" s="13">
        <v>6.1135903999999998E-2</v>
      </c>
      <c r="I199" s="13">
        <v>6.2215973000000001E-2</v>
      </c>
      <c r="J199" s="13">
        <v>6.2472447E-2</v>
      </c>
      <c r="K199" s="13">
        <v>6.2484986999999999E-2</v>
      </c>
      <c r="L199" s="13">
        <v>6.2441104999999997E-2</v>
      </c>
      <c r="M199" s="13">
        <v>8.777768E-3</v>
      </c>
      <c r="N199" s="13">
        <v>1.3239104E-2</v>
      </c>
      <c r="O199" s="13">
        <v>1.6567710999999999E-2</v>
      </c>
      <c r="P199" s="13">
        <v>1.9420806999999998E-2</v>
      </c>
      <c r="Q199" s="13">
        <v>2.1711035E-2</v>
      </c>
      <c r="R199" s="13">
        <v>2.3585996000000001E-2</v>
      </c>
      <c r="S199" s="13">
        <v>2.5919930000000001E-2</v>
      </c>
      <c r="T199" s="13">
        <v>0.111657939</v>
      </c>
      <c r="U199" s="13">
        <v>0.107995568</v>
      </c>
      <c r="V199" s="13">
        <v>0.107818104</v>
      </c>
      <c r="W199" s="13">
        <v>0.107084516</v>
      </c>
      <c r="X199" s="13">
        <v>0.105070174</v>
      </c>
      <c r="Y199" s="13">
        <v>0.102749705</v>
      </c>
      <c r="Z199" s="13">
        <v>0.10031180100000001</v>
      </c>
      <c r="AA199" s="13">
        <v>2.6223422999999999E-2</v>
      </c>
      <c r="AB199" s="13">
        <v>2.6390777000000001E-2</v>
      </c>
      <c r="AC199" s="13">
        <v>2.5750550000000001E-2</v>
      </c>
      <c r="AD199" s="13">
        <v>2.3416861000000001E-2</v>
      </c>
      <c r="AE199" s="13">
        <v>2.3153697000000001E-2</v>
      </c>
      <c r="AF199" s="13">
        <v>2.4735935000000001E-2</v>
      </c>
      <c r="AG199" s="13">
        <v>2.8612862999999999E-2</v>
      </c>
      <c r="AH199" s="13">
        <v>9.2626439000000005E-2</v>
      </c>
      <c r="AI199" s="13">
        <v>9.4142013999999996E-2</v>
      </c>
      <c r="AJ199" s="13">
        <v>9.7753118999999999E-2</v>
      </c>
      <c r="AK199" s="13">
        <v>0.102499508</v>
      </c>
      <c r="AL199" s="13">
        <v>0.103316039</v>
      </c>
      <c r="AM199" s="13">
        <v>0.10163736900000001</v>
      </c>
      <c r="AN199" s="13">
        <v>9.7392014999999998E-2</v>
      </c>
      <c r="AO199" s="13">
        <v>0.121346564</v>
      </c>
      <c r="AP199" s="14">
        <v>0.159829585</v>
      </c>
      <c r="AQ199" s="14">
        <v>0.57739173799999999</v>
      </c>
    </row>
    <row r="200" spans="1:43" s="16" customFormat="1" x14ac:dyDescent="0.25">
      <c r="A200" s="16" t="s">
        <v>16</v>
      </c>
      <c r="B200" s="16" t="e">
        <f>VLOOKUP(Sheet1!D200,Sheet2!A197,1,FALSE)</f>
        <v>#N/A</v>
      </c>
      <c r="C200" s="16" t="s">
        <v>23</v>
      </c>
      <c r="D200" s="16" t="s">
        <v>28</v>
      </c>
      <c r="E200" s="16" t="s">
        <v>45</v>
      </c>
      <c r="F200" s="13">
        <v>7.6263960000000006E-2</v>
      </c>
      <c r="G200" s="13">
        <v>7.7651175000000003E-2</v>
      </c>
      <c r="H200" s="13">
        <v>8.0434042999999997E-2</v>
      </c>
      <c r="I200" s="13">
        <v>8.3455230000000005E-2</v>
      </c>
      <c r="J200" s="13">
        <v>8.5031501999999995E-2</v>
      </c>
      <c r="K200" s="13">
        <v>8.5935937000000004E-2</v>
      </c>
      <c r="L200" s="13">
        <v>8.6516542000000002E-2</v>
      </c>
      <c r="M200" s="13">
        <v>1.6016092999999999E-2</v>
      </c>
      <c r="N200" s="13">
        <v>2.2580468999999999E-2</v>
      </c>
      <c r="O200" s="13">
        <v>2.7144662999999999E-2</v>
      </c>
      <c r="P200" s="13">
        <v>3.2306544999999999E-2</v>
      </c>
      <c r="Q200" s="13">
        <v>3.6098448999999998E-2</v>
      </c>
      <c r="R200" s="13">
        <v>4.0036925000000001E-2</v>
      </c>
      <c r="S200" s="13">
        <v>4.3144601999999997E-2</v>
      </c>
      <c r="T200" s="13">
        <v>0.13986800199999999</v>
      </c>
      <c r="U200" s="13">
        <v>0.135357648</v>
      </c>
      <c r="V200" s="13">
        <v>0.136343091</v>
      </c>
      <c r="W200" s="13">
        <v>0.13660650199999999</v>
      </c>
      <c r="X200" s="13">
        <v>0.135735988</v>
      </c>
      <c r="Y200" s="13">
        <v>0.13373701700000001</v>
      </c>
      <c r="Z200" s="13">
        <v>0.13122947400000001</v>
      </c>
      <c r="AA200" s="13">
        <v>3.4223834000000002E-2</v>
      </c>
      <c r="AB200" s="13">
        <v>3.4804595000000001E-2</v>
      </c>
      <c r="AC200" s="13">
        <v>3.4585018000000002E-2</v>
      </c>
      <c r="AD200" s="13">
        <v>3.7929734999999999E-2</v>
      </c>
      <c r="AE200" s="13">
        <v>4.1185961E-2</v>
      </c>
      <c r="AF200" s="13">
        <v>4.5290332000000003E-2</v>
      </c>
      <c r="AG200" s="13">
        <v>4.7417239E-2</v>
      </c>
      <c r="AH200" s="13">
        <v>0.120055304</v>
      </c>
      <c r="AI200" s="13">
        <v>0.12231576199999999</v>
      </c>
      <c r="AJ200" s="13">
        <v>0.12836524299999999</v>
      </c>
      <c r="AK200" s="13">
        <v>0.13102686399999999</v>
      </c>
      <c r="AL200" s="13">
        <v>0.13076885499999999</v>
      </c>
      <c r="AM200" s="13">
        <v>0.128200857</v>
      </c>
      <c r="AN200" s="13">
        <v>0.12711109200000001</v>
      </c>
      <c r="AO200" s="13">
        <v>0.14970161100000001</v>
      </c>
      <c r="AP200" s="14">
        <v>-0.11238828100000001</v>
      </c>
      <c r="AQ200" s="14">
        <v>0.726409058</v>
      </c>
    </row>
    <row r="201" spans="1:43" s="16" customFormat="1" x14ac:dyDescent="0.25">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4"/>
      <c r="AQ201" s="14"/>
    </row>
    <row r="202" spans="1:43" s="16" customFormat="1" x14ac:dyDescent="0.25">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4"/>
      <c r="AQ202" s="14"/>
    </row>
    <row r="204" spans="1:43" x14ac:dyDescent="0.25">
      <c r="A204" s="17" t="s">
        <v>176</v>
      </c>
      <c r="B204" s="17"/>
      <c r="C204" s="17"/>
      <c r="D204" s="17"/>
      <c r="E204" s="17"/>
      <c r="F204" s="17"/>
      <c r="G204" s="17"/>
      <c r="H204" s="17"/>
      <c r="I204" s="17"/>
      <c r="J204" s="17"/>
    </row>
    <row r="205" spans="1:43" x14ac:dyDescent="0.25">
      <c r="A205" s="17"/>
      <c r="B205" s="17"/>
      <c r="C205" s="17"/>
      <c r="D205" s="17"/>
      <c r="E205" s="17"/>
      <c r="F205" s="17"/>
      <c r="G205" s="17"/>
      <c r="H205" s="17"/>
      <c r="I205" s="17"/>
      <c r="J205" s="17"/>
    </row>
    <row r="206" spans="1:43" x14ac:dyDescent="0.25">
      <c r="A206" s="17"/>
      <c r="B206" s="17"/>
      <c r="C206" s="17"/>
      <c r="D206" s="17"/>
      <c r="E206" s="17"/>
      <c r="F206" s="17"/>
      <c r="G206" s="17"/>
      <c r="H206" s="17"/>
      <c r="I206" s="17"/>
      <c r="J206" s="17"/>
    </row>
    <row r="207" spans="1:43" x14ac:dyDescent="0.25">
      <c r="A207" s="17"/>
      <c r="B207" s="17"/>
      <c r="C207" s="17"/>
      <c r="D207" s="17"/>
      <c r="E207" s="17"/>
      <c r="F207" s="17"/>
      <c r="G207" s="17"/>
      <c r="H207" s="17"/>
      <c r="I207" s="17"/>
      <c r="J207" s="17"/>
    </row>
    <row r="208" spans="1:43" x14ac:dyDescent="0.25">
      <c r="A208" s="17"/>
      <c r="B208" s="17"/>
      <c r="C208" s="17"/>
      <c r="D208" s="17"/>
      <c r="E208" s="17"/>
      <c r="F208" s="17"/>
      <c r="G208" s="17"/>
      <c r="H208" s="17"/>
      <c r="I208" s="17"/>
      <c r="J208" s="17"/>
    </row>
    <row r="209" spans="1:10" x14ac:dyDescent="0.25">
      <c r="A209" s="17"/>
      <c r="B209" s="17"/>
      <c r="C209" s="17"/>
      <c r="D209" s="17"/>
      <c r="E209" s="17"/>
      <c r="F209" s="17"/>
      <c r="G209" s="17"/>
      <c r="H209" s="17"/>
      <c r="I209" s="17"/>
      <c r="J209" s="17"/>
    </row>
    <row r="210" spans="1:10" x14ac:dyDescent="0.25">
      <c r="A210" s="17"/>
      <c r="B210" s="17"/>
      <c r="C210" s="17"/>
      <c r="D210" s="17"/>
      <c r="E210" s="17"/>
      <c r="F210" s="17"/>
      <c r="G210" s="17"/>
      <c r="H210" s="17"/>
      <c r="I210" s="17"/>
      <c r="J210" s="17"/>
    </row>
    <row r="211" spans="1:10" x14ac:dyDescent="0.25">
      <c r="A211" s="17"/>
      <c r="B211" s="17"/>
      <c r="C211" s="17"/>
      <c r="D211" s="17"/>
      <c r="E211" s="17"/>
      <c r="F211" s="17"/>
      <c r="G211" s="17"/>
      <c r="H211" s="17"/>
      <c r="I211" s="17"/>
      <c r="J211" s="17"/>
    </row>
    <row r="212" spans="1:10" x14ac:dyDescent="0.25">
      <c r="A212" s="17"/>
      <c r="B212" s="17"/>
      <c r="C212" s="17"/>
      <c r="D212" s="17"/>
      <c r="E212" s="17"/>
      <c r="F212" s="17"/>
      <c r="G212" s="17"/>
      <c r="H212" s="17"/>
      <c r="I212" s="17"/>
      <c r="J212" s="17"/>
    </row>
    <row r="213" spans="1:10" x14ac:dyDescent="0.25">
      <c r="A213" s="17"/>
      <c r="B213" s="17"/>
      <c r="C213" s="17"/>
      <c r="D213" s="17"/>
      <c r="E213" s="17"/>
      <c r="F213" s="17"/>
      <c r="G213" s="17"/>
      <c r="H213" s="17"/>
      <c r="I213" s="17"/>
      <c r="J213" s="17"/>
    </row>
    <row r="214" spans="1:10" x14ac:dyDescent="0.25">
      <c r="A214" s="17"/>
      <c r="B214" s="17"/>
      <c r="C214" s="17"/>
      <c r="D214" s="17"/>
      <c r="E214" s="17"/>
      <c r="F214" s="17"/>
      <c r="G214" s="17"/>
      <c r="H214" s="17"/>
      <c r="I214" s="17"/>
      <c r="J214" s="17"/>
    </row>
    <row r="215" spans="1:10" x14ac:dyDescent="0.25">
      <c r="A215" s="17"/>
      <c r="B215" s="17"/>
      <c r="C215" s="17"/>
      <c r="D215" s="17"/>
      <c r="E215" s="17"/>
      <c r="F215" s="17"/>
      <c r="G215" s="17"/>
      <c r="H215" s="17"/>
      <c r="I215" s="17"/>
      <c r="J215" s="17"/>
    </row>
    <row r="216" spans="1:10" x14ac:dyDescent="0.25">
      <c r="A216" s="17"/>
      <c r="B216" s="17"/>
      <c r="C216" s="17"/>
      <c r="D216" s="17"/>
      <c r="E216" s="17"/>
      <c r="F216" s="17"/>
      <c r="G216" s="17"/>
      <c r="H216" s="17"/>
      <c r="I216" s="17"/>
      <c r="J216" s="17"/>
    </row>
    <row r="217" spans="1:10" x14ac:dyDescent="0.25">
      <c r="A217" s="17"/>
      <c r="B217" s="17"/>
      <c r="C217" s="17"/>
      <c r="D217" s="17"/>
      <c r="E217" s="17"/>
      <c r="F217" s="17"/>
      <c r="G217" s="17"/>
      <c r="H217" s="17"/>
      <c r="I217" s="17"/>
      <c r="J217" s="17"/>
    </row>
    <row r="218" spans="1:10" x14ac:dyDescent="0.25">
      <c r="A218" s="17"/>
      <c r="B218" s="17"/>
      <c r="C218" s="17"/>
      <c r="D218" s="17"/>
      <c r="E218" s="17"/>
      <c r="F218" s="17"/>
      <c r="G218" s="17"/>
      <c r="H218" s="17"/>
      <c r="I218" s="17"/>
      <c r="J218" s="17"/>
    </row>
    <row r="219" spans="1:10" x14ac:dyDescent="0.25">
      <c r="A219" s="17"/>
      <c r="B219" s="17"/>
      <c r="C219" s="17"/>
      <c r="D219" s="17"/>
      <c r="E219" s="17"/>
      <c r="F219" s="17"/>
      <c r="G219" s="17"/>
      <c r="H219" s="17"/>
      <c r="I219" s="17"/>
      <c r="J219" s="17"/>
    </row>
    <row r="220" spans="1:10" x14ac:dyDescent="0.25">
      <c r="A220" s="17"/>
      <c r="B220" s="17"/>
      <c r="C220" s="17"/>
      <c r="D220" s="17"/>
      <c r="E220" s="17"/>
      <c r="F220" s="17"/>
      <c r="G220" s="17"/>
      <c r="H220" s="17"/>
      <c r="I220" s="17"/>
      <c r="J220" s="17"/>
    </row>
    <row r="221" spans="1:10" x14ac:dyDescent="0.25">
      <c r="A221" s="17"/>
      <c r="B221" s="17"/>
      <c r="C221" s="17"/>
      <c r="D221" s="17"/>
      <c r="E221" s="17"/>
      <c r="F221" s="17"/>
      <c r="G221" s="17"/>
      <c r="H221" s="17"/>
      <c r="I221" s="17"/>
      <c r="J221" s="17"/>
    </row>
    <row r="222" spans="1:10" x14ac:dyDescent="0.25">
      <c r="A222" s="17"/>
      <c r="B222" s="17"/>
      <c r="C222" s="17"/>
      <c r="D222" s="17"/>
      <c r="E222" s="17"/>
      <c r="F222" s="17"/>
      <c r="G222" s="17"/>
      <c r="H222" s="17"/>
      <c r="I222" s="17"/>
      <c r="J222" s="17"/>
    </row>
    <row r="223" spans="1:10" x14ac:dyDescent="0.25">
      <c r="A223" s="17"/>
      <c r="B223" s="17"/>
      <c r="C223" s="17"/>
      <c r="D223" s="17"/>
      <c r="E223" s="17"/>
      <c r="F223" s="17"/>
      <c r="G223" s="17"/>
      <c r="H223" s="17"/>
      <c r="I223" s="17"/>
      <c r="J223" s="17"/>
    </row>
    <row r="224" spans="1:10" x14ac:dyDescent="0.25">
      <c r="A224" s="17"/>
      <c r="B224" s="17"/>
      <c r="C224" s="17"/>
      <c r="D224" s="17"/>
      <c r="E224" s="17"/>
      <c r="F224" s="17"/>
      <c r="G224" s="17"/>
      <c r="H224" s="17"/>
      <c r="I224" s="17"/>
      <c r="J224" s="17"/>
    </row>
    <row r="225" spans="1:10" x14ac:dyDescent="0.25">
      <c r="A225" s="17"/>
      <c r="B225" s="17"/>
      <c r="C225" s="17"/>
      <c r="D225" s="17"/>
      <c r="E225" s="17"/>
      <c r="F225" s="17"/>
      <c r="G225" s="17"/>
      <c r="H225" s="17"/>
      <c r="I225" s="17"/>
      <c r="J225" s="17"/>
    </row>
    <row r="226" spans="1:10" x14ac:dyDescent="0.25">
      <c r="A226" s="17"/>
      <c r="B226" s="17"/>
      <c r="C226" s="17"/>
      <c r="D226" s="17"/>
      <c r="E226" s="17"/>
      <c r="F226" s="17"/>
      <c r="G226" s="17"/>
      <c r="H226" s="17"/>
      <c r="I226" s="17"/>
      <c r="J226" s="17"/>
    </row>
    <row r="227" spans="1:10" x14ac:dyDescent="0.25">
      <c r="A227" s="17"/>
      <c r="B227" s="17"/>
      <c r="C227" s="17"/>
      <c r="D227" s="17"/>
      <c r="E227" s="17"/>
      <c r="F227" s="17"/>
      <c r="G227" s="17"/>
      <c r="H227" s="17"/>
      <c r="I227" s="17"/>
      <c r="J227" s="17"/>
    </row>
    <row r="228" spans="1:10" x14ac:dyDescent="0.25">
      <c r="A228" s="17"/>
      <c r="B228" s="17"/>
      <c r="C228" s="17"/>
      <c r="D228" s="17"/>
      <c r="E228" s="17"/>
      <c r="F228" s="17"/>
      <c r="G228" s="17"/>
      <c r="H228" s="17"/>
      <c r="I228" s="17"/>
      <c r="J228" s="17"/>
    </row>
    <row r="229" spans="1:10" x14ac:dyDescent="0.25">
      <c r="A229" s="17"/>
      <c r="B229" s="17"/>
      <c r="C229" s="17"/>
      <c r="D229" s="17"/>
      <c r="E229" s="17"/>
      <c r="F229" s="17"/>
      <c r="G229" s="17"/>
      <c r="H229" s="17"/>
      <c r="I229" s="17"/>
      <c r="J229" s="17"/>
    </row>
    <row r="230" spans="1:10" x14ac:dyDescent="0.25">
      <c r="A230" s="17"/>
      <c r="B230" s="17"/>
      <c r="C230" s="17"/>
      <c r="D230" s="17"/>
      <c r="E230" s="17"/>
      <c r="F230" s="17"/>
      <c r="G230" s="17"/>
      <c r="H230" s="17"/>
      <c r="I230" s="17"/>
      <c r="J230" s="17"/>
    </row>
    <row r="231" spans="1:10" x14ac:dyDescent="0.25">
      <c r="A231" s="17"/>
      <c r="B231" s="17"/>
      <c r="C231" s="17"/>
      <c r="D231" s="17"/>
      <c r="E231" s="17"/>
      <c r="F231" s="17"/>
      <c r="G231" s="17"/>
      <c r="H231" s="17"/>
      <c r="I231" s="17"/>
      <c r="J231" s="17"/>
    </row>
    <row r="232" spans="1:10" x14ac:dyDescent="0.25">
      <c r="A232" s="17"/>
      <c r="B232" s="17"/>
      <c r="C232" s="17"/>
      <c r="D232" s="17"/>
      <c r="E232" s="17"/>
      <c r="F232" s="17"/>
      <c r="G232" s="17"/>
      <c r="H232" s="17"/>
      <c r="I232" s="17"/>
      <c r="J232" s="17"/>
    </row>
    <row r="233" spans="1:10" x14ac:dyDescent="0.25">
      <c r="A233" s="17"/>
      <c r="B233" s="17"/>
      <c r="C233" s="17"/>
      <c r="D233" s="17"/>
      <c r="E233" s="17"/>
      <c r="F233" s="17"/>
      <c r="G233" s="17"/>
      <c r="H233" s="17"/>
      <c r="I233" s="17"/>
      <c r="J233" s="17"/>
    </row>
    <row r="234" spans="1:10" x14ac:dyDescent="0.25">
      <c r="A234" s="17"/>
      <c r="B234" s="17"/>
      <c r="C234" s="17"/>
      <c r="D234" s="17"/>
      <c r="E234" s="17"/>
      <c r="F234" s="17"/>
      <c r="G234" s="17"/>
      <c r="H234" s="17"/>
      <c r="I234" s="17"/>
      <c r="J234" s="17"/>
    </row>
    <row r="235" spans="1:10" x14ac:dyDescent="0.25">
      <c r="A235" s="17"/>
      <c r="B235" s="17"/>
      <c r="C235" s="17"/>
      <c r="D235" s="17"/>
      <c r="E235" s="17"/>
      <c r="F235" s="17"/>
      <c r="G235" s="17"/>
      <c r="H235" s="17"/>
      <c r="I235" s="17"/>
      <c r="J235" s="17"/>
    </row>
    <row r="236" spans="1:10" x14ac:dyDescent="0.25">
      <c r="A236" s="17"/>
      <c r="B236" s="17"/>
      <c r="C236" s="17"/>
      <c r="D236" s="17"/>
      <c r="E236" s="17"/>
      <c r="F236" s="17"/>
      <c r="G236" s="17"/>
      <c r="H236" s="17"/>
      <c r="I236" s="17"/>
      <c r="J236" s="17"/>
    </row>
    <row r="237" spans="1:10" x14ac:dyDescent="0.25">
      <c r="A237" s="17"/>
      <c r="B237" s="17"/>
      <c r="C237" s="17"/>
      <c r="D237" s="17"/>
      <c r="E237" s="17"/>
      <c r="F237" s="17"/>
      <c r="G237" s="17"/>
      <c r="H237" s="17"/>
      <c r="I237" s="17"/>
      <c r="J237" s="17"/>
    </row>
    <row r="238" spans="1:10" x14ac:dyDescent="0.25">
      <c r="A238" s="17"/>
      <c r="B238" s="17"/>
      <c r="C238" s="17"/>
      <c r="D238" s="17"/>
      <c r="E238" s="17"/>
      <c r="F238" s="17"/>
      <c r="G238" s="17"/>
      <c r="H238" s="17"/>
      <c r="I238" s="17"/>
      <c r="J238" s="17"/>
    </row>
    <row r="239" spans="1:10" x14ac:dyDescent="0.25">
      <c r="A239" s="17"/>
      <c r="B239" s="17"/>
      <c r="C239" s="17"/>
      <c r="D239" s="17"/>
      <c r="E239" s="17"/>
      <c r="F239" s="17"/>
      <c r="G239" s="17"/>
      <c r="H239" s="17"/>
      <c r="I239" s="17"/>
      <c r="J239" s="17"/>
    </row>
    <row r="240" spans="1:10" x14ac:dyDescent="0.25">
      <c r="A240" s="17"/>
      <c r="B240" s="17"/>
      <c r="C240" s="17"/>
      <c r="D240" s="17"/>
      <c r="E240" s="17"/>
      <c r="F240" s="17"/>
      <c r="G240" s="17"/>
      <c r="H240" s="17"/>
      <c r="I240" s="17"/>
      <c r="J240" s="17"/>
    </row>
    <row r="241" spans="1:10" x14ac:dyDescent="0.25">
      <c r="A241" s="17"/>
      <c r="B241" s="17"/>
      <c r="C241" s="17"/>
      <c r="D241" s="17"/>
      <c r="E241" s="17"/>
      <c r="F241" s="17"/>
      <c r="G241" s="17"/>
      <c r="H241" s="17"/>
      <c r="I241" s="17"/>
      <c r="J241" s="17"/>
    </row>
    <row r="242" spans="1:10" x14ac:dyDescent="0.25">
      <c r="A242" s="17"/>
      <c r="B242" s="17"/>
      <c r="C242" s="17"/>
      <c r="D242" s="17"/>
      <c r="E242" s="17"/>
      <c r="F242" s="17"/>
      <c r="G242" s="17"/>
      <c r="H242" s="17"/>
      <c r="I242" s="17"/>
      <c r="J242" s="17"/>
    </row>
    <row r="243" spans="1:10" x14ac:dyDescent="0.25">
      <c r="A243" s="17"/>
      <c r="B243" s="17"/>
      <c r="C243" s="17"/>
      <c r="D243" s="17"/>
      <c r="E243" s="17"/>
      <c r="F243" s="17"/>
      <c r="G243" s="17"/>
      <c r="H243" s="17"/>
      <c r="I243" s="17"/>
      <c r="J243" s="17"/>
    </row>
    <row r="244" spans="1:10" x14ac:dyDescent="0.25">
      <c r="A244" s="17"/>
      <c r="B244" s="17"/>
      <c r="C244" s="17"/>
      <c r="D244" s="17"/>
      <c r="E244" s="17"/>
      <c r="F244" s="17"/>
      <c r="G244" s="17"/>
      <c r="H244" s="17"/>
      <c r="I244" s="17"/>
      <c r="J244" s="17"/>
    </row>
    <row r="245" spans="1:10" x14ac:dyDescent="0.25">
      <c r="A245" s="17"/>
      <c r="B245" s="17"/>
      <c r="C245" s="17"/>
      <c r="D245" s="17"/>
      <c r="E245" s="17"/>
      <c r="F245" s="17"/>
      <c r="G245" s="17"/>
      <c r="H245" s="17"/>
      <c r="I245" s="17"/>
      <c r="J245" s="17"/>
    </row>
    <row r="246" spans="1:10" x14ac:dyDescent="0.25">
      <c r="A246" s="17"/>
      <c r="B246" s="17"/>
      <c r="C246" s="17"/>
      <c r="D246" s="17"/>
      <c r="E246" s="17"/>
      <c r="F246" s="17"/>
      <c r="G246" s="17"/>
      <c r="H246" s="17"/>
      <c r="I246" s="17"/>
      <c r="J246" s="17"/>
    </row>
    <row r="247" spans="1:10" x14ac:dyDescent="0.25">
      <c r="A247" s="16" t="s">
        <v>168</v>
      </c>
    </row>
  </sheetData>
  <autoFilter ref="A1:AQ200">
    <filterColumn colId="0">
      <filters>
        <filter val="USD"/>
      </filters>
    </filterColumn>
  </autoFilter>
  <mergeCells count="7">
    <mergeCell ref="A204:J246"/>
    <mergeCell ref="AP2:AQ2"/>
    <mergeCell ref="F2:L2"/>
    <mergeCell ref="M2:S2"/>
    <mergeCell ref="T2:Z2"/>
    <mergeCell ref="AA2:AG2"/>
    <mergeCell ref="AH2:AN2"/>
  </mergeCells>
  <hyperlinks>
    <hyperlink ref="D2" r:id="rId1"/>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9"/>
  <sheetViews>
    <sheetView workbookViewId="0">
      <selection activeCell="D10" sqref="D10"/>
    </sheetView>
  </sheetViews>
  <sheetFormatPr defaultRowHeight="13.2" x14ac:dyDescent="0.25"/>
  <sheetData>
    <row r="1" spans="1:3" x14ac:dyDescent="0.25">
      <c r="A1" s="16" t="s">
        <v>17</v>
      </c>
      <c r="B1" s="13">
        <v>7.4843225999999999E-2</v>
      </c>
      <c r="C1" s="13">
        <v>0.184176952</v>
      </c>
    </row>
    <row r="2" spans="1:3" x14ac:dyDescent="0.25">
      <c r="A2" s="16" t="s">
        <v>192</v>
      </c>
      <c r="B2" s="13">
        <v>6.2899707999999999E-2</v>
      </c>
      <c r="C2" s="13">
        <v>0.161742686</v>
      </c>
    </row>
    <row r="3" spans="1:3" x14ac:dyDescent="0.25">
      <c r="A3" s="16" t="s">
        <v>18</v>
      </c>
      <c r="B3" s="13">
        <v>7.9673158999999993E-2</v>
      </c>
      <c r="C3" s="13">
        <v>0.209606133</v>
      </c>
    </row>
    <row r="4" spans="1:3" x14ac:dyDescent="0.25">
      <c r="A4" s="16" t="s">
        <v>194</v>
      </c>
      <c r="B4" s="13">
        <v>6.9065114999999996E-2</v>
      </c>
      <c r="C4" s="13">
        <v>0.226397457</v>
      </c>
    </row>
    <row r="5" spans="1:3" x14ac:dyDescent="0.25">
      <c r="A5" s="16" t="s">
        <v>193</v>
      </c>
      <c r="B5" s="13">
        <v>7.1573130999999998E-2</v>
      </c>
      <c r="C5" s="13">
        <v>0.163682042</v>
      </c>
    </row>
    <row r="6" spans="1:3" x14ac:dyDescent="0.25">
      <c r="A6" s="16" t="s">
        <v>171</v>
      </c>
      <c r="B6" s="13">
        <v>6.2740505000000002E-2</v>
      </c>
      <c r="C6" s="13">
        <v>0.31102570200000001</v>
      </c>
    </row>
    <row r="7" spans="1:3" x14ac:dyDescent="0.25">
      <c r="A7" s="16" t="s">
        <v>170</v>
      </c>
      <c r="B7" s="13">
        <v>8.4724128999999995E-2</v>
      </c>
      <c r="C7" s="13">
        <v>0.27259144400000002</v>
      </c>
    </row>
    <row r="8" spans="1:3" x14ac:dyDescent="0.25">
      <c r="A8" s="16" t="s">
        <v>189</v>
      </c>
      <c r="B8" s="13">
        <v>2.0047938000000001E-2</v>
      </c>
      <c r="C8" s="13">
        <v>4.2376736999999998E-2</v>
      </c>
    </row>
    <row r="9" spans="1:3" x14ac:dyDescent="0.25">
      <c r="A9" s="16" t="s">
        <v>198</v>
      </c>
      <c r="B9" s="13">
        <v>1.7086080999999999E-2</v>
      </c>
      <c r="C9" s="13">
        <v>1.4895017E-2</v>
      </c>
    </row>
    <row r="10" spans="1:3" x14ac:dyDescent="0.25">
      <c r="A10" s="16" t="s">
        <v>186</v>
      </c>
      <c r="B10" s="13">
        <v>2.7148045999999999E-2</v>
      </c>
      <c r="C10" s="13">
        <v>6.8086591000000002E-2</v>
      </c>
    </row>
    <row r="11" spans="1:3" x14ac:dyDescent="0.25">
      <c r="A11" s="16" t="s">
        <v>187</v>
      </c>
      <c r="B11" s="13">
        <v>3.2211858000000003E-2</v>
      </c>
      <c r="C11" s="13">
        <v>0.12830619400000001</v>
      </c>
    </row>
    <row r="12" spans="1:3" x14ac:dyDescent="0.25">
      <c r="A12" s="16" t="s">
        <v>183</v>
      </c>
      <c r="B12" s="13">
        <v>1.460119E-2</v>
      </c>
      <c r="C12" s="13">
        <v>5.5067861000000003E-2</v>
      </c>
    </row>
    <row r="13" spans="1:3" x14ac:dyDescent="0.25">
      <c r="A13" s="16" t="s">
        <v>184</v>
      </c>
      <c r="B13" s="13">
        <v>2.1973320000000002E-3</v>
      </c>
      <c r="C13" s="13">
        <v>0.15196783</v>
      </c>
    </row>
    <row r="14" spans="1:3" x14ac:dyDescent="0.25">
      <c r="A14" s="16" t="s">
        <v>21</v>
      </c>
      <c r="B14" s="13">
        <v>4.6579398000000001E-2</v>
      </c>
      <c r="C14" s="13">
        <v>0.103279335</v>
      </c>
    </row>
    <row r="15" spans="1:3" x14ac:dyDescent="0.25">
      <c r="A15" s="16" t="s">
        <v>188</v>
      </c>
      <c r="B15" s="13">
        <v>4.7687352000000002E-2</v>
      </c>
      <c r="C15" s="13">
        <v>7.9509081999999995E-2</v>
      </c>
    </row>
    <row r="16" spans="1:3" x14ac:dyDescent="0.25">
      <c r="A16" s="16" t="s">
        <v>22</v>
      </c>
      <c r="B16" s="13">
        <v>3.5508786000000001E-2</v>
      </c>
      <c r="C16" s="13">
        <v>8.6194396000000006E-2</v>
      </c>
    </row>
    <row r="17" spans="1:3" x14ac:dyDescent="0.25">
      <c r="A17" s="16" t="s">
        <v>185</v>
      </c>
      <c r="B17" s="13">
        <v>2.7135846000000002E-2</v>
      </c>
      <c r="C17" s="13">
        <v>5.9730012999999998E-2</v>
      </c>
    </row>
    <row r="18" spans="1:3" x14ac:dyDescent="0.25">
      <c r="A18" s="16" t="s">
        <v>190</v>
      </c>
      <c r="B18" s="13">
        <v>1.6588749999999999E-2</v>
      </c>
      <c r="C18" s="13">
        <v>3.5106848000000003E-2</v>
      </c>
    </row>
    <row r="19" spans="1:3" x14ac:dyDescent="0.25">
      <c r="A19" s="16" t="s">
        <v>191</v>
      </c>
      <c r="B19" s="13">
        <v>3.9689192999999998E-2</v>
      </c>
      <c r="C19" s="13">
        <v>8.1193528000000001E-2</v>
      </c>
    </row>
    <row r="20" spans="1:3" x14ac:dyDescent="0.25">
      <c r="A20" s="16" t="s">
        <v>182</v>
      </c>
      <c r="B20" s="13">
        <v>1.8604767000000001E-2</v>
      </c>
      <c r="C20" s="13">
        <v>0</v>
      </c>
    </row>
    <row r="21" spans="1:3" x14ac:dyDescent="0.25">
      <c r="A21" s="16" t="s">
        <v>172</v>
      </c>
      <c r="B21" s="13">
        <v>3.0567278999999999E-2</v>
      </c>
      <c r="C21" s="13">
        <v>4.0525243000000002E-2</v>
      </c>
    </row>
    <row r="22" spans="1:3" x14ac:dyDescent="0.25">
      <c r="A22" s="16" t="s">
        <v>199</v>
      </c>
      <c r="B22" s="13">
        <v>4.7871516000000003E-2</v>
      </c>
      <c r="C22" s="13">
        <v>0.104640627</v>
      </c>
    </row>
    <row r="23" spans="1:3" x14ac:dyDescent="0.25">
      <c r="A23" s="16" t="s">
        <v>24</v>
      </c>
      <c r="B23" s="13">
        <v>3.7838259999999999E-2</v>
      </c>
      <c r="C23" s="13">
        <v>8.9964557000000001E-2</v>
      </c>
    </row>
    <row r="24" spans="1:3" x14ac:dyDescent="0.25">
      <c r="A24" s="16" t="s">
        <v>25</v>
      </c>
      <c r="B24" s="13">
        <v>6.2803688999999996E-2</v>
      </c>
      <c r="C24" s="13">
        <v>0.104136481</v>
      </c>
    </row>
    <row r="25" spans="1:3" x14ac:dyDescent="0.25">
      <c r="A25" s="16" t="s">
        <v>26</v>
      </c>
      <c r="B25" s="13">
        <v>7.3191195000000001E-2</v>
      </c>
      <c r="C25" s="13">
        <v>0.18774254600000001</v>
      </c>
    </row>
    <row r="26" spans="1:3" x14ac:dyDescent="0.25">
      <c r="A26" s="16" t="s">
        <v>27</v>
      </c>
      <c r="B26" s="13">
        <v>6.0967713999999999E-2</v>
      </c>
      <c r="C26" s="13">
        <v>7.4110272000000005E-2</v>
      </c>
    </row>
    <row r="27" spans="1:3" x14ac:dyDescent="0.25">
      <c r="A27" s="16" t="s">
        <v>196</v>
      </c>
      <c r="B27" s="13">
        <v>0.15430065500000001</v>
      </c>
      <c r="C27" s="13">
        <v>0.32008530299999999</v>
      </c>
    </row>
    <row r="28" spans="1:3" x14ac:dyDescent="0.25">
      <c r="A28" s="16" t="s">
        <v>195</v>
      </c>
      <c r="B28" s="13">
        <v>6.2472447E-2</v>
      </c>
      <c r="C28" s="13">
        <v>0.121346564</v>
      </c>
    </row>
    <row r="29" spans="1:3" x14ac:dyDescent="0.25">
      <c r="A29" s="16" t="s">
        <v>28</v>
      </c>
      <c r="B29" s="13">
        <v>8.5031501999999995E-2</v>
      </c>
      <c r="C29" s="13">
        <v>0.14970161100000001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2"/>
  <sheetViews>
    <sheetView tabSelected="1" workbookViewId="0">
      <selection sqref="A1:C22"/>
    </sheetView>
  </sheetViews>
  <sheetFormatPr defaultRowHeight="13.2" x14ac:dyDescent="0.25"/>
  <cols>
    <col min="1" max="1" width="32" style="30" bestFit="1" customWidth="1"/>
  </cols>
  <sheetData>
    <row r="1" spans="1:3" ht="14.4" x14ac:dyDescent="0.25">
      <c r="A1" s="26" t="s">
        <v>182</v>
      </c>
      <c r="B1" s="31">
        <f>VLOOKUP(A1,Sheet3!$A$1:$C$29,2,FALSE)</f>
        <v>1.8604767000000001E-2</v>
      </c>
      <c r="C1" s="31">
        <f>VLOOKUP(A1,Sheet3!$A$1:$C$29,3,FALSE)</f>
        <v>0</v>
      </c>
    </row>
    <row r="2" spans="1:3" ht="14.4" x14ac:dyDescent="0.25">
      <c r="A2" s="26" t="s">
        <v>183</v>
      </c>
      <c r="B2" s="31">
        <f>VLOOKUP(A2,Sheet3!$A$1:$C$29,2,FALSE)</f>
        <v>1.460119E-2</v>
      </c>
      <c r="C2" s="31">
        <f>VLOOKUP(A2,Sheet3!$A$1:$C$29,3,FALSE)</f>
        <v>5.5067861000000003E-2</v>
      </c>
    </row>
    <row r="3" spans="1:3" ht="14.4" x14ac:dyDescent="0.25">
      <c r="A3" s="26" t="s">
        <v>184</v>
      </c>
      <c r="B3" s="31">
        <f>VLOOKUP(A3,Sheet3!$A$1:$C$29,2,FALSE)</f>
        <v>2.1973320000000002E-3</v>
      </c>
      <c r="C3" s="31">
        <f>VLOOKUP(A3,Sheet3!$A$1:$C$29,3,FALSE)</f>
        <v>0.15196783</v>
      </c>
    </row>
    <row r="4" spans="1:3" ht="14.4" x14ac:dyDescent="0.25">
      <c r="A4" s="26" t="s">
        <v>185</v>
      </c>
      <c r="B4" s="31">
        <f>VLOOKUP(A4,Sheet3!$A$1:$C$29,2,FALSE)</f>
        <v>2.7135846000000002E-2</v>
      </c>
      <c r="C4" s="31">
        <f>VLOOKUP(A4,Sheet3!$A$1:$C$29,3,FALSE)</f>
        <v>5.9730012999999998E-2</v>
      </c>
    </row>
    <row r="5" spans="1:3" ht="14.4" x14ac:dyDescent="0.25">
      <c r="A5" s="26" t="s">
        <v>186</v>
      </c>
      <c r="B5" s="31">
        <f>VLOOKUP(A5,Sheet3!$A$1:$C$29,2,FALSE)</f>
        <v>2.7148045999999999E-2</v>
      </c>
      <c r="C5" s="31">
        <f>VLOOKUP(A5,Sheet3!$A$1:$C$29,3,FALSE)</f>
        <v>6.8086591000000002E-2</v>
      </c>
    </row>
    <row r="6" spans="1:3" ht="14.4" x14ac:dyDescent="0.25">
      <c r="A6" s="26" t="s">
        <v>187</v>
      </c>
      <c r="B6" s="31">
        <f>VLOOKUP(A6,Sheet3!$A$1:$C$29,2,FALSE)</f>
        <v>3.2211858000000003E-2</v>
      </c>
      <c r="C6" s="31">
        <f>VLOOKUP(A6,Sheet3!$A$1:$C$29,3,FALSE)</f>
        <v>0.12830619400000001</v>
      </c>
    </row>
    <row r="7" spans="1:3" ht="14.4" x14ac:dyDescent="0.25">
      <c r="A7" s="26" t="s">
        <v>188</v>
      </c>
      <c r="B7" s="31">
        <f>VLOOKUP(A7,Sheet3!$A$1:$C$29,2,FALSE)</f>
        <v>4.7687352000000002E-2</v>
      </c>
      <c r="C7" s="31">
        <f>VLOOKUP(A7,Sheet3!$A$1:$C$29,3,FALSE)</f>
        <v>7.9509081999999995E-2</v>
      </c>
    </row>
    <row r="8" spans="1:3" ht="14.4" x14ac:dyDescent="0.25">
      <c r="A8" s="26" t="s">
        <v>189</v>
      </c>
      <c r="B8" s="31">
        <f>VLOOKUP(A8,Sheet3!$A$1:$C$29,2,FALSE)</f>
        <v>2.0047938000000001E-2</v>
      </c>
      <c r="C8" s="31">
        <f>VLOOKUP(A8,Sheet3!$A$1:$C$29,3,FALSE)</f>
        <v>4.2376736999999998E-2</v>
      </c>
    </row>
    <row r="9" spans="1:3" ht="14.4" x14ac:dyDescent="0.25">
      <c r="A9" s="26" t="s">
        <v>190</v>
      </c>
      <c r="B9" s="31">
        <f>VLOOKUP(A9,Sheet3!$A$1:$C$29,2,FALSE)</f>
        <v>1.6588749999999999E-2</v>
      </c>
      <c r="C9" s="31">
        <f>VLOOKUP(A9,Sheet3!$A$1:$C$29,3,FALSE)</f>
        <v>3.5106848000000003E-2</v>
      </c>
    </row>
    <row r="10" spans="1:3" ht="14.4" x14ac:dyDescent="0.25">
      <c r="A10" s="26" t="s">
        <v>21</v>
      </c>
      <c r="B10" s="31">
        <f>VLOOKUP(A10,Sheet3!$A$1:$C$29,2,FALSE)</f>
        <v>4.6579398000000001E-2</v>
      </c>
      <c r="C10" s="31">
        <f>VLOOKUP(A10,Sheet3!$A$1:$C$29,3,FALSE)</f>
        <v>0.103279335</v>
      </c>
    </row>
    <row r="11" spans="1:3" ht="14.4" x14ac:dyDescent="0.25">
      <c r="A11" s="26" t="s">
        <v>22</v>
      </c>
      <c r="B11" s="31">
        <f>VLOOKUP(A11,Sheet3!$A$1:$C$29,2,FALSE)</f>
        <v>3.5508786000000001E-2</v>
      </c>
      <c r="C11" s="31">
        <f>VLOOKUP(A11,Sheet3!$A$1:$C$29,3,FALSE)</f>
        <v>8.6194396000000006E-2</v>
      </c>
    </row>
    <row r="12" spans="1:3" ht="14.4" x14ac:dyDescent="0.25">
      <c r="A12" s="26" t="s">
        <v>191</v>
      </c>
      <c r="B12" s="31">
        <f>VLOOKUP(A12,Sheet3!$A$1:$C$29,2,FALSE)</f>
        <v>3.9689192999999998E-2</v>
      </c>
      <c r="C12" s="31">
        <f>VLOOKUP(A12,Sheet3!$A$1:$C$29,3,FALSE)</f>
        <v>8.1193528000000001E-2</v>
      </c>
    </row>
    <row r="13" spans="1:3" ht="14.4" x14ac:dyDescent="0.25">
      <c r="A13" s="27" t="s">
        <v>192</v>
      </c>
      <c r="B13" s="31">
        <f>VLOOKUP(A13,Sheet3!$A$1:$C$29,2,FALSE)</f>
        <v>6.2899707999999999E-2</v>
      </c>
      <c r="C13" s="31">
        <f>VLOOKUP(A13,Sheet3!$A$1:$C$29,3,FALSE)</f>
        <v>0.161742686</v>
      </c>
    </row>
    <row r="14" spans="1:3" ht="14.4" x14ac:dyDescent="0.25">
      <c r="A14" s="27" t="s">
        <v>193</v>
      </c>
      <c r="B14" s="31">
        <f>VLOOKUP(A14,Sheet3!$A$1:$C$29,2,FALSE)</f>
        <v>7.1573130999999998E-2</v>
      </c>
      <c r="C14" s="31">
        <f>VLOOKUP(A14,Sheet3!$A$1:$C$29,3,FALSE)</f>
        <v>0.163682042</v>
      </c>
    </row>
    <row r="15" spans="1:3" ht="14.4" x14ac:dyDescent="0.25">
      <c r="A15" s="27" t="s">
        <v>194</v>
      </c>
      <c r="B15" s="31">
        <f>VLOOKUP(A15,Sheet3!$A$1:$C$29,2,FALSE)</f>
        <v>6.9065114999999996E-2</v>
      </c>
      <c r="C15" s="31">
        <f>VLOOKUP(A15,Sheet3!$A$1:$C$29,3,FALSE)</f>
        <v>0.226397457</v>
      </c>
    </row>
    <row r="16" spans="1:3" ht="14.4" x14ac:dyDescent="0.25">
      <c r="A16" s="27" t="s">
        <v>18</v>
      </c>
      <c r="B16" s="31">
        <f>VLOOKUP(A16,Sheet3!$A$1:$C$29,2,FALSE)</f>
        <v>7.9673158999999993E-2</v>
      </c>
      <c r="C16" s="31">
        <f>VLOOKUP(A16,Sheet3!$A$1:$C$29,3,FALSE)</f>
        <v>0.209606133</v>
      </c>
    </row>
    <row r="17" spans="1:3" ht="14.4" x14ac:dyDescent="0.25">
      <c r="A17" s="28" t="s">
        <v>195</v>
      </c>
      <c r="B17" s="31">
        <f>VLOOKUP(A17,Sheet3!$A$1:$C$29,2,FALSE)</f>
        <v>6.2472447E-2</v>
      </c>
      <c r="C17" s="31">
        <f>VLOOKUP(A17,Sheet3!$A$1:$C$29,3,FALSE)</f>
        <v>0.121346564</v>
      </c>
    </row>
    <row r="18" spans="1:3" ht="14.4" x14ac:dyDescent="0.25">
      <c r="A18" s="28" t="s">
        <v>196</v>
      </c>
      <c r="B18" s="31">
        <f>VLOOKUP(A18,Sheet3!$A$1:$C$29,2,FALSE)</f>
        <v>0.15430065500000001</v>
      </c>
      <c r="C18" s="31">
        <f>VLOOKUP(A18,Sheet3!$A$1:$C$29,3,FALSE)</f>
        <v>0.32008530299999999</v>
      </c>
    </row>
    <row r="19" spans="1:3" ht="14.4" x14ac:dyDescent="0.25">
      <c r="A19" s="28" t="s">
        <v>26</v>
      </c>
      <c r="B19" s="31">
        <f>VLOOKUP(A19,Sheet3!$A$1:$C$29,2,FALSE)</f>
        <v>7.3191195000000001E-2</v>
      </c>
      <c r="C19" s="31">
        <f>VLOOKUP(A19,Sheet3!$A$1:$C$29,3,FALSE)</f>
        <v>0.18774254600000001</v>
      </c>
    </row>
    <row r="20" spans="1:3" ht="14.4" x14ac:dyDescent="0.25">
      <c r="A20" s="28" t="s">
        <v>27</v>
      </c>
      <c r="B20" s="31">
        <f>VLOOKUP(A20,Sheet3!$A$1:$C$29,2,FALSE)</f>
        <v>6.0967713999999999E-2</v>
      </c>
      <c r="C20" s="31">
        <f>VLOOKUP(A20,Sheet3!$A$1:$C$29,3,FALSE)</f>
        <v>7.4110272000000005E-2</v>
      </c>
    </row>
    <row r="21" spans="1:3" ht="14.4" x14ac:dyDescent="0.25">
      <c r="A21" s="28" t="s">
        <v>197</v>
      </c>
      <c r="B21" s="31" t="e">
        <f>VLOOKUP(A21,Sheet3!$A$1:$C$29,2,FALSE)</f>
        <v>#N/A</v>
      </c>
      <c r="C21" s="31" t="e">
        <f>VLOOKUP(A21,Sheet3!$A$1:$C$29,3,FALSE)</f>
        <v>#N/A</v>
      </c>
    </row>
    <row r="22" spans="1:3" ht="14.4" x14ac:dyDescent="0.25">
      <c r="A22" s="29" t="s">
        <v>24</v>
      </c>
      <c r="B22" s="31">
        <f>VLOOKUP(A22,Sheet3!$A$1:$C$29,2,FALSE)</f>
        <v>3.7838259999999999E-2</v>
      </c>
      <c r="C22" s="31">
        <f>VLOOKUP(A22,Sheet3!$A$1:$C$29,3,FALSE)</f>
        <v>8.9964557000000001E-2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Sheet3</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Barber, Scott</dc:creator>
  <cp:lastModifiedBy>Swaroop Bhagavatula</cp:lastModifiedBy>
  <dcterms:created xsi:type="dcterms:W3CDTF">2019-04-15T10:11:59Z</dcterms:created>
  <dcterms:modified xsi:type="dcterms:W3CDTF">2020-12-01T14:39:34Z</dcterms:modified>
</cp:coreProperties>
</file>